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namedSheetViews/namedSheetView1.xml" ContentType="application/vnd.ms-excel.namedsheetviews+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4.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charts/chartEx1.xml" ContentType="application/vnd.ms-office.chartex+xml"/>
  <Override PartName="/xl/charts/style18.xml" ContentType="application/vnd.ms-office.chartstyle+xml"/>
  <Override PartName="/xl/charts/colors18.xml" ContentType="application/vnd.ms-office.chartcolorstyle+xml"/>
  <Override PartName="/xl/charts/chartEx2.xml" ContentType="application/vnd.ms-office.chartex+xml"/>
  <Override PartName="/xl/charts/style19.xml" ContentType="application/vnd.ms-office.chartstyle+xml"/>
  <Override PartName="/xl/charts/colors19.xml" ContentType="application/vnd.ms-office.chartcolorstyle+xml"/>
  <Override PartName="/xl/drawings/drawing5.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cc85ccb002dd88c/Resumes/Git-Hub/Website/zacharymilosmoore/info/visuals/"/>
    </mc:Choice>
  </mc:AlternateContent>
  <xr:revisionPtr revIDLastSave="7" documentId="8_{2D87546F-DDF4-4303-AC01-177701AD6C04}" xr6:coauthVersionLast="47" xr6:coauthVersionMax="47" xr10:uidLastSave="{32FADBA4-7166-490D-A3EA-E51A91AEA73F}"/>
  <bookViews>
    <workbookView xWindow="-108" yWindow="-108" windowWidth="23256" windowHeight="12576" xr2:uid="{16CCB86A-ED5C-47D3-899E-2A151D35D576}"/>
  </bookViews>
  <sheets>
    <sheet name="META" sheetId="22" r:id="rId1"/>
    <sheet name="ORGS" sheetId="24" r:id="rId2"/>
    <sheet name="TYPES" sheetId="20" r:id="rId3"/>
    <sheet name="CAT" sheetId="21" r:id="rId4"/>
    <sheet name="TAGS" sheetId="19" r:id="rId5"/>
    <sheet name="Analysis" sheetId="25" r:id="rId6"/>
    <sheet name="REFS" sheetId="23" r:id="rId7"/>
  </sheets>
  <definedNames>
    <definedName name="_xlchart.v1.0" hidden="1">Analysis!$A$2:$B$25</definedName>
    <definedName name="_xlchart.v1.1" hidden="1">Analysis!$D$1</definedName>
    <definedName name="_xlchart.v1.2" hidden="1">Analysis!$D$2:$D$25</definedName>
    <definedName name="_xlchart.v1.3" hidden="1">Analysis!$O$2:$P$25</definedName>
    <definedName name="_xlchart.v1.4" hidden="1">Analysis!$R$2:$R$25</definedName>
    <definedName name="Category.Conserving" comment="Dropdown subset for Org.Table[Category.Sub] when Org.Table[Category.Main] == Conserving">Category.Conserving.Table[Conserving]</definedName>
    <definedName name="Category.Facilitating" comment="Dropdown subset for Org.Table[Category.Sub] when Org.Table[Category.Main] == Facilitating">Category.Facilitating.Table[Facilitating]</definedName>
    <definedName name="Category.Governing" comment="Dropdown subset for Org.Table[Category.Sub] when Org.Table[Category.Main] == Governing ">Category.Governing.Table[Governing]</definedName>
    <definedName name="Category.Main" comment="Dropdown subset for Org.Table[Category.Main]">Category.Main.Table[Category]</definedName>
    <definedName name="Category.Supporting" comment="Dropdown subset for Org.Table[Category.Sub] when Org.Table[Category.Main] == Supporting">Category.Supporting.Table[Supporting]</definedName>
    <definedName name="Cultural.Property" comment="Dropdown subset for Org.Table[Cultural.Property]">Cultural.Property.Table[Cultural.Property]</definedName>
    <definedName name="Data.Lists" comment="Dropdown subset for Org.Table[Data.Lists]. ">Data.Lists.Table[Data.Lists]</definedName>
    <definedName name="ICH.Domain" comment="Dropdown subset for Org.Table[ICH.Domain]">ICH.Domain.Table[ICH.Domain]</definedName>
    <definedName name="ICH.Goal" comment="Dropdown subset for Org.Table[ICH.Goal]">ICH.Goal.Table[ICH.Goal]</definedName>
    <definedName name="Jurisdiction" comment="Dropdown subset for Org.Table[Jurisdiction]">Jurisdiction.Table[Jurisdiction]</definedName>
    <definedName name="MultiDropDowns" comment="List referenced in macro. Entries into these cells will be added on to end of existing entry. Reentering anything removes it from the cell. ">Org.Table[Data.Lists],Org.Table[[Category.Sub]:[ICH.Goals]],Org.Table[Type.Sub]</definedName>
    <definedName name="Tangible.Heritage" comment="Dropdown subset for Org.Table[Tangible.Heritage]">Tangible.Heritage.Table[Tangible.Heritage]</definedName>
    <definedName name="Type.Academic" comment="Dropdown subset for Org.Table[Type.Sub] when Org.Table[Type.Main] == Academic">Type.Academic.Table[Academic]</definedName>
    <definedName name="Type.Indigenous" comment="Dropdown subset for Org.Table[Type.Sub] when Org.Table[Type.Main] == Indigenous">Type.Indigenous.Table[Indigenous]</definedName>
    <definedName name="Type.Main" comment="Dropdown subset for Org.Table[Type.Main]">Type.Main.Table[Type.Main]</definedName>
    <definedName name="Type.NP" comment="Dropdown subset for Org.Table[Type.Sub] when Org.Table[Type.Main] == NP">Type.NP.Table[NP]</definedName>
    <definedName name="Type.Other" comment="Dropdown subset for Org.Table[Type.Sub] when Org.Table[Type.Main] == Other">Type.Other.Table[Other]</definedName>
    <definedName name="Type.Private" comment="Dropdown subset for Org.Table[Type.Sub] when Org.Table[Type.Main] == Private">Type.Private.Table[Private]</definedName>
    <definedName name="Type.Public" comment="Dropdown subset for Org.Table[Type.Sub] when Org.Table[Type.Main] == Public">Type.Public.Table[Public]</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6" i="25" l="1"/>
  <c r="Q26" i="25"/>
  <c r="R26" i="25"/>
  <c r="D26" i="25"/>
  <c r="G13" i="21"/>
  <c r="O10" i="21"/>
  <c r="G3" i="21"/>
  <c r="G15" i="21"/>
  <c r="G2" i="21"/>
  <c r="G4" i="21"/>
  <c r="G6" i="21"/>
  <c r="G7" i="21"/>
  <c r="G5" i="21"/>
  <c r="G8" i="21"/>
  <c r="G9" i="21"/>
  <c r="G10" i="21"/>
  <c r="G11" i="21"/>
  <c r="G12" i="21"/>
  <c r="G14" i="21"/>
  <c r="S2" i="21"/>
  <c r="S3" i="21"/>
  <c r="S5" i="21"/>
  <c r="S7" i="21"/>
  <c r="S9" i="21"/>
  <c r="S10" i="21"/>
  <c r="S4" i="21"/>
  <c r="S6" i="21"/>
  <c r="S8" i="21"/>
  <c r="S11" i="21"/>
  <c r="O2" i="21"/>
  <c r="O3" i="21"/>
  <c r="O4" i="21"/>
  <c r="O5" i="21"/>
  <c r="O7" i="21"/>
  <c r="O6" i="21"/>
  <c r="O8" i="21"/>
  <c r="O9" i="21"/>
  <c r="O11" i="21"/>
  <c r="O13" i="21"/>
  <c r="O12" i="21"/>
  <c r="O14" i="21"/>
  <c r="G5" i="20"/>
  <c r="G15" i="19"/>
  <c r="G2" i="20"/>
  <c r="G2" i="19"/>
  <c r="S5" i="20" l="1"/>
  <c r="O4" i="20"/>
  <c r="O2" i="20"/>
  <c r="W6" i="20" l="1"/>
  <c r="W2" i="20" l="1"/>
  <c r="W4" i="20"/>
  <c r="W13" i="20"/>
  <c r="W3" i="20"/>
  <c r="W10" i="20"/>
  <c r="AA2" i="20" l="1"/>
  <c r="W18" i="20"/>
  <c r="W16" i="20"/>
  <c r="L9" i="19"/>
  <c r="L10" i="19"/>
  <c r="L3" i="19"/>
  <c r="L4" i="19"/>
  <c r="L5" i="19"/>
  <c r="L8" i="19"/>
  <c r="L6" i="19"/>
  <c r="L2" i="19"/>
  <c r="L7" i="19"/>
  <c r="L11" i="19"/>
  <c r="L12" i="19"/>
  <c r="K10" i="21"/>
  <c r="K4" i="21"/>
  <c r="K3" i="21"/>
  <c r="K7" i="21"/>
  <c r="K6" i="21"/>
  <c r="K9" i="21"/>
  <c r="K8" i="21"/>
  <c r="K5" i="21"/>
  <c r="K2" i="21"/>
  <c r="C3" i="21"/>
  <c r="C2" i="21"/>
  <c r="C4" i="21"/>
  <c r="C5" i="21"/>
  <c r="T5" i="19"/>
  <c r="T6" i="19"/>
  <c r="T3" i="19"/>
  <c r="T4" i="19"/>
  <c r="T7" i="19"/>
  <c r="T2" i="19"/>
  <c r="P3" i="19"/>
  <c r="P4" i="19"/>
  <c r="P5" i="19"/>
  <c r="P6" i="19"/>
  <c r="P2" i="19"/>
  <c r="G7" i="19"/>
  <c r="G14" i="19"/>
  <c r="G6" i="19"/>
  <c r="G4" i="19"/>
  <c r="G8" i="19"/>
  <c r="G9" i="19"/>
  <c r="G11" i="19"/>
  <c r="G3" i="19"/>
  <c r="G16" i="19"/>
  <c r="G5" i="19"/>
  <c r="G10" i="19"/>
  <c r="G12" i="19"/>
  <c r="G13" i="19"/>
  <c r="G17" i="19"/>
  <c r="C5" i="19"/>
  <c r="C4" i="19"/>
  <c r="C3" i="19"/>
  <c r="C2" i="19"/>
  <c r="AA3" i="20"/>
  <c r="W11" i="20"/>
  <c r="W17" i="20"/>
  <c r="W14" i="20"/>
  <c r="W12" i="20"/>
  <c r="W15" i="20"/>
  <c r="W9" i="20"/>
  <c r="W8" i="20"/>
  <c r="W7" i="20"/>
  <c r="W5" i="20"/>
  <c r="S9" i="20"/>
  <c r="S6" i="20"/>
  <c r="S3" i="20"/>
  <c r="S2" i="20"/>
  <c r="S8" i="20"/>
  <c r="S4" i="20"/>
  <c r="S7" i="20"/>
  <c r="O5" i="20"/>
  <c r="O3" i="20"/>
  <c r="K9" i="20"/>
  <c r="K10" i="20"/>
  <c r="K2" i="20"/>
  <c r="K11" i="20"/>
  <c r="K5" i="20"/>
  <c r="K8" i="20"/>
  <c r="K13" i="20"/>
  <c r="K3" i="20"/>
  <c r="K6" i="20"/>
  <c r="K12" i="20"/>
  <c r="K7" i="20"/>
  <c r="K4" i="20"/>
  <c r="G4" i="20"/>
  <c r="G6" i="20"/>
  <c r="G3" i="20"/>
  <c r="C3" i="20"/>
  <c r="C5" i="20"/>
  <c r="C4" i="20"/>
  <c r="C7" i="20"/>
  <c r="C6" i="20"/>
  <c r="C2" i="20"/>
  <c r="AA4" i="20" l="1"/>
  <c r="L13" i="19"/>
  <c r="O15" i="21"/>
  <c r="G16" i="21"/>
  <c r="K11" i="21"/>
  <c r="S12" i="21"/>
  <c r="C6" i="21"/>
  <c r="E3" i="23"/>
  <c r="C6" i="19"/>
  <c r="T8" i="19"/>
  <c r="G18" i="19"/>
  <c r="P7" i="19"/>
  <c r="W19" i="20"/>
  <c r="C8" i="20"/>
  <c r="S10" i="20"/>
  <c r="O6" i="20"/>
  <c r="K14" i="20"/>
  <c r="G7" i="20"/>
</calcChain>
</file>

<file path=xl/sharedStrings.xml><?xml version="1.0" encoding="utf-8"?>
<sst xmlns="http://schemas.openxmlformats.org/spreadsheetml/2006/main" count="632" uniqueCount="408">
  <si>
    <t>Sheet</t>
  </si>
  <si>
    <t>Description</t>
  </si>
  <si>
    <t>ORGS</t>
  </si>
  <si>
    <t xml:space="preserve">Organizational database. Includes categorized information on organizations in the heritage field within Saskatchewan. </t>
  </si>
  <si>
    <t>TAGS</t>
  </si>
  <si>
    <t>TYPES</t>
  </si>
  <si>
    <t>CATS</t>
  </si>
  <si>
    <t>Tables used for tagging entries in ORGS; function categories</t>
  </si>
  <si>
    <t>List of databases used in ORGS; list of sources for TAGS, TYPES, CATS, and LISTS</t>
  </si>
  <si>
    <t>Research</t>
  </si>
  <si>
    <t>Organization.Main</t>
  </si>
  <si>
    <t>Organization.Sub</t>
  </si>
  <si>
    <t>Acronym</t>
  </si>
  <si>
    <t>Website</t>
  </si>
  <si>
    <t>Other.Email</t>
  </si>
  <si>
    <t>Other.Phone</t>
  </si>
  <si>
    <t>Contact.Name.First</t>
  </si>
  <si>
    <t>Contact.Name.Last</t>
  </si>
  <si>
    <t>Contact.Position</t>
  </si>
  <si>
    <t>Contact.Email</t>
  </si>
  <si>
    <t>Contact.Phone</t>
  </si>
  <si>
    <t>Address.1</t>
  </si>
  <si>
    <t>Address.2</t>
  </si>
  <si>
    <t>Address.City</t>
  </si>
  <si>
    <t>Address.Prov</t>
  </si>
  <si>
    <t>Address.Postal</t>
  </si>
  <si>
    <t>About</t>
  </si>
  <si>
    <t>Notes</t>
  </si>
  <si>
    <t>Data.Lists</t>
  </si>
  <si>
    <t>Jurisdiction</t>
  </si>
  <si>
    <t>Type.Main</t>
  </si>
  <si>
    <t>Type.Sub</t>
  </si>
  <si>
    <t>Category.Main</t>
  </si>
  <si>
    <t>Category.Sub</t>
  </si>
  <si>
    <t>Tangible.Heritage</t>
  </si>
  <si>
    <t>Cultural.Property</t>
  </si>
  <si>
    <t>ICH.Domains</t>
  </si>
  <si>
    <t>ICH.Goals</t>
  </si>
  <si>
    <t>Local</t>
  </si>
  <si>
    <t>Private</t>
  </si>
  <si>
    <t>Contractor</t>
  </si>
  <si>
    <t>Facilitating</t>
  </si>
  <si>
    <t>NONE</t>
  </si>
  <si>
    <t>UNKNOWN</t>
  </si>
  <si>
    <t>Craftsmanship</t>
  </si>
  <si>
    <t>INDIRECT</t>
  </si>
  <si>
    <t>NP</t>
  </si>
  <si>
    <t>Art General</t>
  </si>
  <si>
    <t>Venue</t>
  </si>
  <si>
    <t>Audiovisual Collections</t>
  </si>
  <si>
    <t>Performing Arts</t>
  </si>
  <si>
    <t>Academic</t>
  </si>
  <si>
    <t>Supporting</t>
  </si>
  <si>
    <t>Education</t>
  </si>
  <si>
    <t>Village</t>
  </si>
  <si>
    <t>Public</t>
  </si>
  <si>
    <t>Government</t>
  </si>
  <si>
    <t>Governing</t>
  </si>
  <si>
    <t>Town</t>
  </si>
  <si>
    <t>Rural Municipality</t>
  </si>
  <si>
    <t>Regional</t>
  </si>
  <si>
    <t>Museum</t>
  </si>
  <si>
    <t>Conserving</t>
  </si>
  <si>
    <t>Structure(s)</t>
  </si>
  <si>
    <t>Provincial</t>
  </si>
  <si>
    <t>National</t>
  </si>
  <si>
    <t>Land/Business</t>
  </si>
  <si>
    <t>Built</t>
  </si>
  <si>
    <t>National Historic Site</t>
  </si>
  <si>
    <t>Recognition &amp; Celebration</t>
  </si>
  <si>
    <t>Individual</t>
  </si>
  <si>
    <t>FSIN</t>
  </si>
  <si>
    <t>Indigenous</t>
  </si>
  <si>
    <t>Tribal Council</t>
  </si>
  <si>
    <t>First Nation</t>
  </si>
  <si>
    <t>Northern Village</t>
  </si>
  <si>
    <t>Art Gallery</t>
  </si>
  <si>
    <t>Heritage</t>
  </si>
  <si>
    <t>Knowledge &amp; Nature</t>
  </si>
  <si>
    <t>Transmission</t>
  </si>
  <si>
    <t>Resort Village</t>
  </si>
  <si>
    <t>Retailer</t>
  </si>
  <si>
    <t>Natural History</t>
  </si>
  <si>
    <t>Land Trust</t>
  </si>
  <si>
    <t>Environmental</t>
  </si>
  <si>
    <t>Conservation Area(s)</t>
  </si>
  <si>
    <t>Social Practises</t>
  </si>
  <si>
    <t>Fine Arts</t>
  </si>
  <si>
    <t>Architecture</t>
  </si>
  <si>
    <t>Protected Area</t>
  </si>
  <si>
    <t>Organized Hamlet</t>
  </si>
  <si>
    <t>Other</t>
  </si>
  <si>
    <t>Church</t>
  </si>
  <si>
    <t>Archive</t>
  </si>
  <si>
    <t>Documentation</t>
  </si>
  <si>
    <t>Network</t>
  </si>
  <si>
    <t>Agency</t>
  </si>
  <si>
    <t>Materials</t>
  </si>
  <si>
    <t>Outfitter</t>
  </si>
  <si>
    <t>Arts Council</t>
  </si>
  <si>
    <t>Watershed Association</t>
  </si>
  <si>
    <t>Land Management</t>
  </si>
  <si>
    <t>Community Development</t>
  </si>
  <si>
    <t>ICH</t>
  </si>
  <si>
    <t>Cultural Group(s)</t>
  </si>
  <si>
    <t>Military</t>
  </si>
  <si>
    <t>Friendship Centre</t>
  </si>
  <si>
    <t>Heritage Site/ Village</t>
  </si>
  <si>
    <t>Technological</t>
  </si>
  <si>
    <t>Canada</t>
  </si>
  <si>
    <t>Ethnographic</t>
  </si>
  <si>
    <t>Archival</t>
  </si>
  <si>
    <t>Decorative Arts</t>
  </si>
  <si>
    <t>Northern Hamlet</t>
  </si>
  <si>
    <t>Publication</t>
  </si>
  <si>
    <t>Skilled Trade/Craft</t>
  </si>
  <si>
    <t>Musical</t>
  </si>
  <si>
    <t>General Contractor</t>
  </si>
  <si>
    <t>Federated College</t>
  </si>
  <si>
    <t>Department</t>
  </si>
  <si>
    <t>Professional Association</t>
  </si>
  <si>
    <t>Organizational</t>
  </si>
  <si>
    <t>College</t>
  </si>
  <si>
    <t>Engineering</t>
  </si>
  <si>
    <t>Library</t>
  </si>
  <si>
    <t>Institution</t>
  </si>
  <si>
    <t>Hutterite</t>
  </si>
  <si>
    <t>Elementary</t>
  </si>
  <si>
    <t>High</t>
  </si>
  <si>
    <t>School Division</t>
  </si>
  <si>
    <t>Affiliated College</t>
  </si>
  <si>
    <t>Saskatchewan</t>
  </si>
  <si>
    <t>Funding</t>
  </si>
  <si>
    <t>Northern Town</t>
  </si>
  <si>
    <t>Outreach</t>
  </si>
  <si>
    <t>City</t>
  </si>
  <si>
    <t>Nature</t>
  </si>
  <si>
    <t>French</t>
  </si>
  <si>
    <t>Volunteerism</t>
  </si>
  <si>
    <t>Heritage Saskatchewan</t>
  </si>
  <si>
    <t>Planning</t>
  </si>
  <si>
    <t>SCR District</t>
  </si>
  <si>
    <t>Catholic</t>
  </si>
  <si>
    <t>Oral Traditions &amp; Language</t>
  </si>
  <si>
    <t>Metis Nation</t>
  </si>
  <si>
    <t>Database</t>
  </si>
  <si>
    <t>Ministry</t>
  </si>
  <si>
    <t>Archaeology</t>
  </si>
  <si>
    <t>Art</t>
  </si>
  <si>
    <t>Crown Corporation</t>
  </si>
  <si>
    <t>Christian</t>
  </si>
  <si>
    <t>Community Group</t>
  </si>
  <si>
    <t>Zoo/ Botanical Gardens</t>
  </si>
  <si>
    <t>Restoration</t>
  </si>
  <si>
    <t>Treaty Education Alliance</t>
  </si>
  <si>
    <t>University</t>
  </si>
  <si>
    <t>Herbarium</t>
  </si>
  <si>
    <t>Count</t>
  </si>
  <si>
    <t>Virtual</t>
  </si>
  <si>
    <t>Virtual schools/programs</t>
  </si>
  <si>
    <t>Other Culture</t>
  </si>
  <si>
    <t>School dedicated to cultural group other than those identified here</t>
  </si>
  <si>
    <t>Montessori</t>
  </si>
  <si>
    <t>Montessori schools</t>
  </si>
  <si>
    <t>Mennonite</t>
  </si>
  <si>
    <t>Mennonite' Schools</t>
  </si>
  <si>
    <t>Total Tags</t>
  </si>
  <si>
    <t>Affiliated colleges are associated with one of the two universities, but not academically integrated with them. Most of the affiliated colleges are theological colleges. Some offer courses to fulfil first- and second-year Arts and Science course requirements for university degree programs or to meet the entrance requirements for some of the professional colleges within the universities.</t>
  </si>
  <si>
    <t>Library District</t>
  </si>
  <si>
    <t>Federated colleges are academically integrated with one of the two provincial universities, but are also legally and financially independent with different governing boards. They generally offer undergraduate Arts and Science degree programs recognized by the universities. Degrees are conferred by the university with which they are federated.</t>
  </si>
  <si>
    <t>Total Orgs./SubOrgs.</t>
  </si>
  <si>
    <t>Sports, Culture and Recreation District</t>
  </si>
  <si>
    <t>Saskatchewan has two universities: Regina and Saskatchewan (Saskatoon)</t>
  </si>
  <si>
    <t>Christian' Schools</t>
  </si>
  <si>
    <t>General, non-university affiliated colleges</t>
  </si>
  <si>
    <t>Independent</t>
  </si>
  <si>
    <t>Independent or Private Schools</t>
  </si>
  <si>
    <t>Primarily French or immersion schools</t>
  </si>
  <si>
    <t>Hutterite School; not associated with High or Elementary Tags for lack of information on many schools</t>
  </si>
  <si>
    <t xml:space="preserve">School at least partially administered by First Nations or Metis Peoples. </t>
  </si>
  <si>
    <t>Catholic Schools</t>
  </si>
  <si>
    <t>Either 7, 9 or 10 to 12, (includes composite schools)</t>
  </si>
  <si>
    <t>Students from pre-Kindergarten to High School (includes K-9)</t>
  </si>
  <si>
    <t>Category</t>
  </si>
  <si>
    <t xml:space="preserve">Actively working to conserve tangible or intangible cultural heritage. </t>
  </si>
  <si>
    <t>Zoo</t>
  </si>
  <si>
    <t>Responsible for setting policies and overseeing process of heritage conservation</t>
  </si>
  <si>
    <t>Project Manager</t>
  </si>
  <si>
    <t>First Nations</t>
  </si>
  <si>
    <t>Metis</t>
  </si>
  <si>
    <t>Class</t>
  </si>
  <si>
    <t>ICH.Goal</t>
  </si>
  <si>
    <t>ICH.Domain</t>
  </si>
  <si>
    <t>Operates primarily within a single community</t>
  </si>
  <si>
    <t>Natural History (including fossils, minerals and other natural history objects) and Archaeology</t>
  </si>
  <si>
    <t>Document ICH and living traditions (audio/video recordings, interviews, photographs, written narratives etc.)</t>
  </si>
  <si>
    <t>Traditional Craftsmanship</t>
  </si>
  <si>
    <t>Operates primarily within multiple communties</t>
  </si>
  <si>
    <t>Objects of Material Ethnographic Culture</t>
  </si>
  <si>
    <t>Recognize and celebrate ICH with festivals and community events</t>
  </si>
  <si>
    <t>Knowledge and practises concerning nature and the universe</t>
  </si>
  <si>
    <t>Military Objects</t>
  </si>
  <si>
    <t>Support and encourage the transmission of knowledge and skills (workshops, mentorships, classes, etc.)</t>
  </si>
  <si>
    <t>Oral traditions and expressions, including language as a vehicle of the intangible cultural heritage</t>
  </si>
  <si>
    <t>National Wildlife Area</t>
  </si>
  <si>
    <t>Established through the Wildlife Area Regulations, National Wildlife Areas can only be designated on lands owned by the federal government. Where lands are not federally owned, Environment and Climate Change Canada may enter into an agreement with the landowner to establish and cooperatively manage a wildlife area, which would not be designated under the Regulations. Partnerships can be created with the provinces, Aboriginal groups and private land owners through programs such as the Habitat Stewardship Program for Species at Risk and the Habitat Joint Ventures.</t>
  </si>
  <si>
    <t>Objects of Applied and Decorative Arts</t>
  </si>
  <si>
    <t>Explore the potential of ICH as a resource for community development</t>
  </si>
  <si>
    <t>Objects of Fine Arts</t>
  </si>
  <si>
    <t>Indirectly contributes to the conservation of intangible cultural heritage</t>
  </si>
  <si>
    <t>Social Practises, rituals and festive events</t>
  </si>
  <si>
    <t>Representative Area</t>
  </si>
  <si>
    <t>Managed by Province of Saskatchewan Ministry of Environment to complement land conservation under National/Provincial Park Systems</t>
  </si>
  <si>
    <t>Scientific or Technological Objects</t>
  </si>
  <si>
    <t>Migratory Bird Sanctuary</t>
  </si>
  <si>
    <t xml:space="preserve">Migratory bird areas are managed by the Canadian Wildlife Service and composed partially of private and public lands, limiting development. </t>
  </si>
  <si>
    <t>Archival Material</t>
  </si>
  <si>
    <t>Designated by the Historic Sites and Monuments Act (1985)</t>
  </si>
  <si>
    <t>Musical Instruments</t>
  </si>
  <si>
    <t>Insufficient information available to determine relevance</t>
  </si>
  <si>
    <t>National Park</t>
  </si>
  <si>
    <t>Managed by Parks Canada</t>
  </si>
  <si>
    <t>Audiovisual Collections (film, video, new media, including digital)</t>
  </si>
  <si>
    <t>Provincial Historic Park</t>
  </si>
  <si>
    <t>Provincial Park</t>
  </si>
  <si>
    <t>No cultural heritage property directly managed by organization</t>
  </si>
  <si>
    <t>Regional Park</t>
  </si>
  <si>
    <t>No tangible heritage property directly managed by organization</t>
  </si>
  <si>
    <t>Date</t>
  </si>
  <si>
    <t>Source</t>
  </si>
  <si>
    <t>Data</t>
  </si>
  <si>
    <t>Cultural.Property.Table</t>
  </si>
  <si>
    <t>Gov't Canada Classifications; Used for orgs with designated moveable cultural property; https://www.canada.ca/en/canadian-heritage/services/designation-institutions-cultural-property/cultural-property-groups.html</t>
  </si>
  <si>
    <t xml:space="preserve">Unesco 2003 Convention for the Safeguarding of the Intagible Cultural Heritage. https://ich.unesco.org/en/intangible-heritage-domains-00052 </t>
  </si>
  <si>
    <t>ICH.Domain.Table</t>
  </si>
  <si>
    <t>ICH.Goal.Table</t>
  </si>
  <si>
    <t>Catherwood, K. (Undated). Intagible Cultural Heritage: An Introduction. Heritage Saskatchewan.</t>
  </si>
  <si>
    <t>Modified from Human Resources in Canada's Built Heritage Sector: Mapping the Work Force and Setting Strategic Priorities (historicplaces.ca)</t>
  </si>
  <si>
    <t>Biosphere Reserve</t>
  </si>
  <si>
    <t>Concat</t>
  </si>
  <si>
    <t>Partnership</t>
  </si>
  <si>
    <t>A corporation owned by a government</t>
  </si>
  <si>
    <t>A branch of the provincial government with a specific purpose</t>
  </si>
  <si>
    <t>A branch of the federal government with a specific purpose</t>
  </si>
  <si>
    <t>Mandate covers entirety of Saskatchewan</t>
  </si>
  <si>
    <t>Mandate covers all of Canada</t>
  </si>
  <si>
    <t>Manages or is closely linked to protected natural spaces</t>
  </si>
  <si>
    <t xml:space="preserve">Possesses UNESCO Biospehere Reserve Designation </t>
  </si>
  <si>
    <t>Unincorporated club or group</t>
  </si>
  <si>
    <t>Mandated to preserve either tangible heritage, cultural property, or intangible cultural heritage (excluding arts)</t>
  </si>
  <si>
    <t>Establishments maintaining large collections of plants or animals</t>
  </si>
  <si>
    <t>Specific designation associated with provincial parks describing historically important areas</t>
  </si>
  <si>
    <t>Provincial protected areas managed by Saskatchewan Parks</t>
  </si>
  <si>
    <t xml:space="preserve">Regional parks managed by appointed boards. Generally used for camping, hiking, boating, etc. </t>
  </si>
  <si>
    <t>Either an officially designated or assumed to be historically important site.</t>
  </si>
  <si>
    <t>Associated with active archaeological extraction</t>
  </si>
  <si>
    <t>Historical important artifacts between 'movable' and 'site/village' scales. Examples include train cars, farming machinery, etc.</t>
  </si>
  <si>
    <t>Canadian federal government.</t>
  </si>
  <si>
    <t>Saskatchewan Provincial Government</t>
  </si>
  <si>
    <t>Urban municipality type</t>
  </si>
  <si>
    <t>Defined territories under the Municipalities Act</t>
  </si>
  <si>
    <t>Governed by Rural Municipality</t>
  </si>
  <si>
    <t>Incorporated under the Northern Municipalities Act</t>
  </si>
  <si>
    <t xml:space="preserve">Any federal, provincial, municipal, or indigenous government. </t>
  </si>
  <si>
    <t>Government mandated organization with specific not-for-profit purpose</t>
  </si>
  <si>
    <t>Designated areas managed for environmental conservation</t>
  </si>
  <si>
    <t>Regional bodies under which public libraries function</t>
  </si>
  <si>
    <t>Government mandated organization with specific administrative function</t>
  </si>
  <si>
    <t>Organization under the Federation of Sovereign Indigenous Nations</t>
  </si>
  <si>
    <t xml:space="preserve">Voluntary assembly of First Nations </t>
  </si>
  <si>
    <t>Metis Nation Government</t>
  </si>
  <si>
    <t>A sovereign First Nation community</t>
  </si>
  <si>
    <t>Organization owns or has legal protection of land for the purposes of environmental conservation</t>
  </si>
  <si>
    <t>Organization assists in the management of land for environmental conservation purposes</t>
  </si>
  <si>
    <t>A specific type of organzation intended to assist in community development</t>
  </si>
  <si>
    <t>A specific type of community group tasked with assisting in responsible environmental management across different scales and jurisdictions</t>
  </si>
  <si>
    <t>Mandated to assist in community development</t>
  </si>
  <si>
    <t>Community group dedicated to engaging the public in art production or exhibition</t>
  </si>
  <si>
    <t>Professional organizations specifically noted to have membership for individual persons (note: not exhaustively used)</t>
  </si>
  <si>
    <t>Professional organizations specifically noted to have membership for other organizations (note: not exhaustively used)</t>
  </si>
  <si>
    <t>Community group dedicated to engaging the public in environmental protection or documentation</t>
  </si>
  <si>
    <t>General designation used for other types of art-promoting organizations</t>
  </si>
  <si>
    <t>Provides tours or guided trips in protected areas</t>
  </si>
  <si>
    <t xml:space="preserve">General designation used for private organizations not fitting in other categories. </t>
  </si>
  <si>
    <t>Organization mandated to selling goods</t>
  </si>
  <si>
    <t>Specialists employed for specific positions, terms, or tasks</t>
  </si>
  <si>
    <t>A specific kind of archive for botanical collections</t>
  </si>
  <si>
    <t>Provides contents used in conservation work</t>
  </si>
  <si>
    <t>Provides services related to maintaining or repairing derelict structures or buildings</t>
  </si>
  <si>
    <t>Provides engineering services</t>
  </si>
  <si>
    <t>Provides a place for other cultural heritage conservation works to be enacted</t>
  </si>
  <si>
    <t>Assists in enacting projects related to cultural heritage conservation</t>
  </si>
  <si>
    <t>Assists in planning projects related to cultural heritage conservation</t>
  </si>
  <si>
    <t>A specific skill set used in other aspects of cultural heritage conservation</t>
  </si>
  <si>
    <t xml:space="preserve">General skill sets used in aspects of cultural heritage conservation </t>
  </si>
  <si>
    <t>Provides architectural services</t>
  </si>
  <si>
    <t>Responsible for the management of a group of large, confined animals</t>
  </si>
  <si>
    <t>Primarily disseminates literature to the public (note: not exhaustively used)</t>
  </si>
  <si>
    <t>Contributes directly to conserving heritage through active research initiatives</t>
  </si>
  <si>
    <t>Protects First Nations heritage, involves First Nations communities in conservation efforts</t>
  </si>
  <si>
    <t>Protects Metis Nation heritage, involves Metis Nation communities in conservation efforts</t>
  </si>
  <si>
    <t>Actively houses a collection of historical documents or records providing information about a place, institution, or group of people.</t>
  </si>
  <si>
    <t>Exhibition of fine or decorative arts</t>
  </si>
  <si>
    <t>Purposeful or direct contribution to the conservation of Intangible Cultural Heritage (note: not exhaustively used)</t>
  </si>
  <si>
    <t>Responsible for the management of a heritage building or structure</t>
  </si>
  <si>
    <t>Purposefully exhibits or stores objects of historical, scientific, cultural interest for conservation of heritage</t>
  </si>
  <si>
    <t>Contibutes or is intimately involved with the protection of natural spaces or animals</t>
  </si>
  <si>
    <t>Contributes volunteers to a specific task</t>
  </si>
  <si>
    <t>Houses information, generally across multiple organizations or scales</t>
  </si>
  <si>
    <t>Provides funding for conservation work.</t>
  </si>
  <si>
    <t>Organization links multiple groups or individuals with a similar characteristic or purpose (note: not exhaustively used)</t>
  </si>
  <si>
    <t>Supports art conservation</t>
  </si>
  <si>
    <t>Supports conservation of intangible cultural heritage</t>
  </si>
  <si>
    <t>Supports environmental conservation</t>
  </si>
  <si>
    <t>General grouping used for a variety of different types of teaching in addition to academic institutions</t>
  </si>
  <si>
    <t xml:space="preserve">Supports groups with shared characteristics, generally ethnicities, backgrounds, languages, etc. </t>
  </si>
  <si>
    <t xml:space="preserve">Links practitioners within a given profession. Generally coincides with 'networks', but differentiated by the mandate of a single profession. </t>
  </si>
  <si>
    <t>Maintains a building or room containing collections of books, periodicals, and sometimes films and recorded music for people to read, borrow, or refer to.</t>
  </si>
  <si>
    <t>ORG METADATA</t>
  </si>
  <si>
    <t>Characteristics</t>
  </si>
  <si>
    <t>The primary organization. (Ex. Cities, towns, protected areas, First Nations, Non-profit societies, Library Districts, School Boards, etc.)</t>
  </si>
  <si>
    <t xml:space="preserve">Municipalities also have their type here to designate the row refers to the government itself. </t>
  </si>
  <si>
    <t>META</t>
  </si>
  <si>
    <t xml:space="preserve">Describes the contents of this workbook and specifically the metadata for the organizational database. </t>
  </si>
  <si>
    <t>REFS</t>
  </si>
  <si>
    <t>The acronym used to describe the organization (note: some may be missing)</t>
  </si>
  <si>
    <t>The website operated by the organization. When missing, a website linked to information about the organization</t>
  </si>
  <si>
    <t>Multiple drop down macro function. Validated by data.lists.table</t>
  </si>
  <si>
    <t>Multiple drop down macro function. Validated by sub type lists linked to whichever main type is chosen</t>
  </si>
  <si>
    <t>Multiple drop down macro function. Validated by sub category lists linked to whichever main category is chosen</t>
  </si>
  <si>
    <t>Religious organizations (note: only archives included here. Database does not include general heritage properties or intangible cultural heritage conservation work of religious organizations.)</t>
  </si>
  <si>
    <r>
      <t xml:space="preserve">Can be very long passages. It is helpful to </t>
    </r>
    <r>
      <rPr>
        <b/>
        <i/>
        <sz val="11"/>
        <color theme="1"/>
        <rFont val="Calibri"/>
        <family val="2"/>
        <scheme val="minor"/>
      </rPr>
      <t>not</t>
    </r>
    <r>
      <rPr>
        <i/>
        <sz val="11"/>
        <color theme="1"/>
        <rFont val="Calibri"/>
        <family val="2"/>
        <scheme val="minor"/>
      </rPr>
      <t xml:space="preserve"> use the wrap text function. </t>
    </r>
  </si>
  <si>
    <t>Has macro (coded properties) to enable dropdowns to populate multiple items into a single cell. Note: Macro can be turned off using the "Design Mode" button in the "Developer" tab for easier large scale editing.</t>
  </si>
  <si>
    <t>A secondary email address.</t>
  </si>
  <si>
    <t>A secondary phone number.</t>
  </si>
  <si>
    <t>Typing phone number as a single number (ie. 5551236789) will autoformat to look like a phone number (ie. 555-123-6789)</t>
  </si>
  <si>
    <t>The first name of a contact at the organization</t>
  </si>
  <si>
    <t>The last name of a contact at the organization</t>
  </si>
  <si>
    <t>Generally found from websites or from previous membership lists</t>
  </si>
  <si>
    <t>The position of the contact at the organization</t>
  </si>
  <si>
    <t>The email of the contact at the organization</t>
  </si>
  <si>
    <t>The phone number of the contact at the organization</t>
  </si>
  <si>
    <t>Generally hyperlinked</t>
  </si>
  <si>
    <t>Line one of the mailing address for the organization</t>
  </si>
  <si>
    <t>Generally the PO Box Number</t>
  </si>
  <si>
    <t>Line two of the mailing address for the organization</t>
  </si>
  <si>
    <t>Generally the street address</t>
  </si>
  <si>
    <t>The city of the mailing address for the organization</t>
  </si>
  <si>
    <t>The prov of the mailing address for the organization</t>
  </si>
  <si>
    <t>The postal code of the mailing address for the organization</t>
  </si>
  <si>
    <t xml:space="preserve">Entered without a space between the two sections. </t>
  </si>
  <si>
    <t>A quote from the organization's website or the database website with information about the organization's mission, mandate, or history.</t>
  </si>
  <si>
    <t>Personal notes about the organization. Varies from amount of information available to comments about mandate, to aspects of interesting things included on websites (such as lists of other organizations)</t>
  </si>
  <si>
    <t>Includes comments from conglomerated databases (ie. Tourism Saskatchewan, Museums Association of Saskatchewan)</t>
  </si>
  <si>
    <t>All conglomerated lists on which the organization was present. Generally accurate, but may be missing some links to previous Heritage Saskatchewan lists.</t>
  </si>
  <si>
    <t xml:space="preserve">The scale at which the operation operates (local to national) </t>
  </si>
  <si>
    <t>All named ranges and tables can be examined using the "Name Manager", accessible by holding ALT and then pressing the i, n, and d keys in succession.</t>
  </si>
  <si>
    <t>The primary type of organization. Refers to  administrative attributes.</t>
  </si>
  <si>
    <t>Validated by Type.Main list</t>
  </si>
  <si>
    <t>Multiple drop down macro function. Validated by data.lists list</t>
  </si>
  <si>
    <t xml:space="preserve">A function linking all of the classification tags into a single cell for analysis. </t>
  </si>
  <si>
    <t xml:space="preserve">The secondary type organization based on the primary type. Subtypes do not overlap between types. </t>
  </si>
  <si>
    <t>The secondary category of the organization based on the primary category.</t>
  </si>
  <si>
    <t xml:space="preserve">The primary category of the organization. Refers to the primary function within the sphere of heritage conservation. </t>
  </si>
  <si>
    <t>Validated by Category.Main list. Some organizations are split into multiple rows to accommodate very specific differences in function (ie. An outreach society (supporting) that also operates a museum (conserving), or a single organization with mulitple museums)</t>
  </si>
  <si>
    <t>Tangible heritage properties managed or intimately linked to the organization. Includes both built and natural heritage characteristics.)</t>
  </si>
  <si>
    <t>Multiple drop down macro function. Validated by Tangible.Heritage list, which includes options for NONE or UNKNOWN.</t>
  </si>
  <si>
    <t xml:space="preserve">Movable cultural property known or assumed to be possessed by the organization. </t>
  </si>
  <si>
    <t>Multiple drop down macro function. Validated by Cultural.Property list, which includes options for NONE or UNKNOWN. (Note: Only organizations included from the GOC-MCP list have legally 'designated' movable cultural property, the rest are just inferred.)</t>
  </si>
  <si>
    <t xml:space="preserve">Multiple drop down macro function. Validated by ICH.Domain list, which includes option for INDIRECT contributions. </t>
  </si>
  <si>
    <t xml:space="preserve">Multiple drop down macro function. Validated by ICH.Goal list, which includes option for INDIRECT contributions. </t>
  </si>
  <si>
    <t xml:space="preserve">Intangible cultural heritage domains into which the organization contributes. </t>
  </si>
  <si>
    <t xml:space="preserve">Intangible cultural heritage goals that the organization is assumed to have set. </t>
  </si>
  <si>
    <t>Tables used for tagging entries in ORGS; tangible and intangible heritage tags</t>
  </si>
  <si>
    <t>Tables used for tagging entries in ORGS; organization administration types</t>
  </si>
  <si>
    <t xml:space="preserve">Because the classification system uses multiple dropdowns in a single cell, using the "Text Filter" and 'Search' functions will facilitate sorting </t>
  </si>
  <si>
    <t>Churches and community groups</t>
  </si>
  <si>
    <t>Cultural</t>
  </si>
  <si>
    <t>Natural</t>
  </si>
  <si>
    <t>Category.Facilitating.Table</t>
  </si>
  <si>
    <t>Autopopulates. Facilitates sorting if looking for several terms across classifications</t>
  </si>
  <si>
    <t>Check</t>
  </si>
  <si>
    <t>Total Orgs/Sub Orgs.</t>
  </si>
  <si>
    <t>Total Orgs./Sub Orgs.</t>
  </si>
  <si>
    <t>A function for checking all the organizations that meet two criteria in the classification system</t>
  </si>
  <si>
    <t>Change the two occurrences of the term INSERT with any classification tags to highlight rows that meet that criteria</t>
  </si>
  <si>
    <t>Government of Canada</t>
  </si>
  <si>
    <t>UNESCO</t>
  </si>
  <si>
    <t>Cultural Human Resources Council</t>
  </si>
  <si>
    <t>Total Orgs</t>
  </si>
  <si>
    <t>Primary Orgs</t>
  </si>
  <si>
    <t>Type</t>
  </si>
  <si>
    <t>Analysis</t>
  </si>
  <si>
    <t>Number of primary and secondary organizations by category and type.</t>
  </si>
  <si>
    <t xml:space="preserve">Analyzed through another program, will not update here. </t>
  </si>
  <si>
    <t>Figures update as database changes.</t>
  </si>
  <si>
    <t>The secondary organization name. (Ex. Institutions such as library branches, schools, museums, or archives under a primary organization)</t>
  </si>
  <si>
    <t>Non-Profit</t>
  </si>
  <si>
    <t xml:space="preserve">Many primary organizations will be represented multiple times as they have different sub organizations with different functions. Duplicates are conditionally formatted to have yellow fill. </t>
  </si>
  <si>
    <t>Name</t>
  </si>
  <si>
    <t>Privately owned corporate entities</t>
  </si>
  <si>
    <t>Incorporated under federal or provincial non-profit legislature</t>
  </si>
  <si>
    <t xml:space="preserve">Owned and operated by the public </t>
  </si>
  <si>
    <t>All educational institutions regardless of adminstrative consideration</t>
  </si>
  <si>
    <t xml:space="preserve">Owned and operated by a sovereign First Nation or the Metis Nation. </t>
  </si>
  <si>
    <t xml:space="preserve">Connects, empowers, or educates organizations performing on the ground work. </t>
  </si>
  <si>
    <t>Assists in the planning, restoration, rehabilitation, maintenance, or celebration of heritage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</si>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</sst>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99]###\-####;###\-###\-####"/>
  </numFmts>
  <fonts count="14"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sz val="8"/>
      <name val="Calibri"/>
      <family val="2"/>
      <scheme val="minor"/>
    </font>
    <font>
      <sz val="11"/>
      <name val="Calibri"/>
      <family val="2"/>
      <scheme val="minor"/>
    </font>
    <font>
      <sz val="11"/>
      <name val="Calibri"/>
      <family val="2"/>
    </font>
    <font>
      <u/>
      <sz val="11"/>
      <color theme="10"/>
      <name val="Calibri"/>
      <family val="2"/>
    </font>
    <font>
      <b/>
      <sz val="11"/>
      <name val="Calibri"/>
      <family val="2"/>
      <scheme val="minor"/>
    </font>
    <font>
      <u/>
      <sz val="11"/>
      <name val="Calibri"/>
      <family val="2"/>
      <scheme val="minor"/>
    </font>
    <font>
      <i/>
      <sz val="11"/>
      <name val="Calibri"/>
      <family val="2"/>
      <scheme val="minor"/>
    </font>
    <font>
      <sz val="11"/>
      <color theme="0"/>
      <name val="Calibri"/>
      <family val="2"/>
      <scheme val="minor"/>
    </font>
    <font>
      <b/>
      <sz val="11"/>
      <color theme="0"/>
      <name val="Calibri"/>
      <family val="2"/>
      <scheme val="minor"/>
    </font>
    <font>
      <b/>
      <i/>
      <sz val="11"/>
      <color theme="1"/>
      <name val="Calibri"/>
      <family val="2"/>
      <scheme val="minor"/>
    </font>
  </fonts>
  <fills count="2">
    <fill>
      <patternFill patternType="none"/>
    </fill>
    <fill>
      <patternFill patternType="gray125"/>
    </fill>
  </fills>
  <borders count="3">
    <border>
      <left/>
      <right/>
      <top/>
      <bottom/>
      <diagonal/>
    </border>
    <border>
      <left/>
      <right style="thin">
        <color indexed="64"/>
      </right>
      <top/>
      <bottom/>
      <diagonal/>
    </border>
    <border>
      <left style="thin">
        <color indexed="64"/>
      </left>
      <right/>
      <top/>
      <bottom/>
      <diagonal/>
    </border>
  </borders>
  <cellStyleXfs count="4">
    <xf numFmtId="0" fontId="0" fillId="0" borderId="0"/>
    <xf numFmtId="0" fontId="2" fillId="0" borderId="0" applyNumberFormat="0" applyFill="0" applyBorder="0" applyAlignment="0" applyProtection="0"/>
    <xf numFmtId="0" fontId="6" fillId="0" borderId="0"/>
    <xf numFmtId="0" fontId="7" fillId="0" borderId="0" applyNumberFormat="0" applyFill="0" applyBorder="0" applyAlignment="0" applyProtection="0"/>
  </cellStyleXfs>
  <cellXfs count="53">
    <xf numFmtId="0" fontId="0" fillId="0" borderId="0" xfId="0"/>
    <xf numFmtId="0" fontId="0" fillId="0" borderId="0" xfId="0" applyAlignment="1">
      <alignment vertical="top"/>
    </xf>
    <xf numFmtId="0" fontId="2" fillId="0" borderId="0" xfId="1" applyAlignment="1">
      <alignment vertical="top"/>
    </xf>
    <xf numFmtId="0" fontId="3" fillId="0" borderId="0" xfId="0" applyFont="1" applyAlignment="1">
      <alignment vertical="top"/>
    </xf>
    <xf numFmtId="0" fontId="0" fillId="0" borderId="0" xfId="0" applyFont="1" applyAlignment="1">
      <alignment vertical="top"/>
    </xf>
    <xf numFmtId="0" fontId="1" fillId="0" borderId="0" xfId="0" applyFont="1" applyAlignment="1">
      <alignment vertical="top"/>
    </xf>
    <xf numFmtId="0" fontId="5" fillId="0" borderId="0" xfId="0" applyFont="1" applyAlignment="1">
      <alignment horizontal="left" vertical="center"/>
    </xf>
    <xf numFmtId="0" fontId="5" fillId="0" borderId="0" xfId="1" applyFont="1" applyAlignment="1">
      <alignment horizontal="left" vertical="center"/>
    </xf>
    <xf numFmtId="0" fontId="5" fillId="0" borderId="1" xfId="0" applyFont="1" applyBorder="1" applyAlignment="1">
      <alignment horizontal="left" vertical="center"/>
    </xf>
    <xf numFmtId="0" fontId="5" fillId="0" borderId="0" xfId="0" applyFont="1" applyBorder="1" applyAlignment="1">
      <alignment horizontal="left" vertical="center"/>
    </xf>
    <xf numFmtId="0" fontId="5" fillId="0" borderId="0" xfId="1" applyNumberFormat="1" applyFont="1" applyAlignment="1">
      <alignment horizontal="left" vertical="center"/>
    </xf>
    <xf numFmtId="0" fontId="5" fillId="0" borderId="0" xfId="1" applyNumberFormat="1" applyFont="1" applyBorder="1" applyAlignment="1">
      <alignment horizontal="left" vertical="center"/>
    </xf>
    <xf numFmtId="0" fontId="1" fillId="0" borderId="0" xfId="0" applyFont="1"/>
    <xf numFmtId="164" fontId="5" fillId="0" borderId="1" xfId="1" applyNumberFormat="1" applyFont="1" applyBorder="1" applyAlignment="1">
      <alignment horizontal="center" vertical="center"/>
    </xf>
    <xf numFmtId="164" fontId="5" fillId="0" borderId="0" xfId="1" applyNumberFormat="1" applyFont="1" applyBorder="1" applyAlignment="1">
      <alignment horizontal="center" vertical="center"/>
    </xf>
    <xf numFmtId="0" fontId="3" fillId="0" borderId="0" xfId="0" applyFont="1" applyAlignment="1">
      <alignment horizontal="right" vertical="top"/>
    </xf>
    <xf numFmtId="0" fontId="3" fillId="0" borderId="0" xfId="0" applyFont="1" applyAlignment="1">
      <alignment vertical="top" wrapText="1"/>
    </xf>
    <xf numFmtId="0" fontId="3" fillId="0" borderId="0" xfId="0" applyFont="1"/>
    <xf numFmtId="0" fontId="5" fillId="0" borderId="1" xfId="1" applyNumberFormat="1" applyFont="1" applyBorder="1" applyAlignment="1">
      <alignment horizontal="center" vertical="center"/>
    </xf>
    <xf numFmtId="0" fontId="10" fillId="0" borderId="2" xfId="0" applyFont="1" applyBorder="1" applyAlignment="1">
      <alignment horizontal="left" vertical="center"/>
    </xf>
    <xf numFmtId="0" fontId="8" fillId="0" borderId="0" xfId="0" applyFont="1" applyBorder="1" applyAlignment="1">
      <alignment horizontal="left" vertical="center"/>
    </xf>
    <xf numFmtId="0" fontId="8" fillId="0" borderId="0" xfId="0" applyFont="1" applyAlignment="1">
      <alignment horizontal="left" vertical="center"/>
    </xf>
    <xf numFmtId="0" fontId="11" fillId="0" borderId="0" xfId="0" applyFont="1" applyAlignment="1"/>
    <xf numFmtId="0" fontId="11" fillId="0" borderId="0" xfId="0" applyFont="1" applyBorder="1" applyAlignment="1"/>
    <xf numFmtId="0" fontId="11" fillId="0" borderId="0" xfId="0" applyFont="1"/>
    <xf numFmtId="0" fontId="0" fillId="0" borderId="0" xfId="0" applyBorder="1"/>
    <xf numFmtId="0" fontId="11" fillId="0" borderId="1" xfId="0" applyFont="1" applyBorder="1" applyAlignment="1"/>
    <xf numFmtId="0" fontId="11" fillId="0" borderId="0" xfId="0" applyFont="1" applyAlignment="1">
      <alignment horizontal="left"/>
    </xf>
    <xf numFmtId="0" fontId="0" fillId="0" borderId="0" xfId="0" applyBorder="1" applyAlignment="1">
      <alignment horizontal="left"/>
    </xf>
    <xf numFmtId="0" fontId="5" fillId="0" borderId="0" xfId="0" applyFont="1" applyBorder="1"/>
    <xf numFmtId="0" fontId="0" fillId="0" borderId="0" xfId="0" applyFont="1" applyBorder="1"/>
    <xf numFmtId="0" fontId="1" fillId="0" borderId="0" xfId="0" applyFont="1" applyBorder="1" applyAlignment="1">
      <alignment horizontal="center"/>
    </xf>
    <xf numFmtId="0" fontId="0" fillId="0" borderId="0" xfId="0" applyNumberFormat="1"/>
    <xf numFmtId="0" fontId="0" fillId="0" borderId="0" xfId="0" applyBorder="1" applyAlignment="1">
      <alignment vertical="top"/>
    </xf>
    <xf numFmtId="0" fontId="0" fillId="0" borderId="0" xfId="0" applyFont="1"/>
    <xf numFmtId="0" fontId="3" fillId="0" borderId="0" xfId="0" applyFont="1" applyBorder="1" applyAlignment="1">
      <alignment vertical="top"/>
    </xf>
    <xf numFmtId="0" fontId="0" fillId="0" borderId="0" xfId="0" applyFont="1" applyBorder="1" applyAlignment="1">
      <alignment vertical="top"/>
    </xf>
    <xf numFmtId="0" fontId="12" fillId="0" borderId="0" xfId="0" applyFont="1" applyAlignment="1"/>
    <xf numFmtId="0" fontId="1" fillId="0" borderId="0" xfId="0" applyFont="1" applyBorder="1"/>
    <xf numFmtId="0" fontId="12" fillId="0" borderId="0" xfId="0" applyFont="1" applyBorder="1" applyAlignment="1"/>
    <xf numFmtId="0" fontId="0" fillId="0" borderId="0" xfId="0" applyNumberFormat="1" applyAlignment="1">
      <alignment vertical="top"/>
    </xf>
    <xf numFmtId="0" fontId="0" fillId="0" borderId="0" xfId="0" applyNumberFormat="1" applyFont="1"/>
    <xf numFmtId="0" fontId="3" fillId="0" borderId="0" xfId="0" quotePrefix="1" applyFont="1"/>
    <xf numFmtId="0" fontId="0" fillId="0" borderId="0" xfId="0" applyAlignment="1">
      <alignment vertical="top" wrapText="1"/>
    </xf>
    <xf numFmtId="0" fontId="1" fillId="0" borderId="0" xfId="0" applyFont="1" applyFill="1" applyBorder="1" applyAlignment="1">
      <alignment vertical="top"/>
    </xf>
    <xf numFmtId="0" fontId="1" fillId="0" borderId="0" xfId="0" applyFont="1" applyFill="1" applyBorder="1" applyAlignment="1">
      <alignment horizontal="left" vertical="top"/>
    </xf>
    <xf numFmtId="0" fontId="13" fillId="0" borderId="0" xfId="0" applyFont="1" applyAlignment="1">
      <alignment vertical="top"/>
    </xf>
    <xf numFmtId="0" fontId="9" fillId="0" borderId="0" xfId="1" applyFont="1" applyBorder="1" applyAlignment="1">
      <alignment horizontal="left" vertical="center"/>
    </xf>
    <xf numFmtId="164" fontId="11" fillId="0" borderId="0" xfId="0" applyNumberFormat="1" applyFont="1" applyBorder="1" applyAlignment="1"/>
    <xf numFmtId="0" fontId="1" fillId="0" borderId="0" xfId="0" applyFont="1" applyFill="1" applyAlignment="1">
      <alignment vertical="top"/>
    </xf>
    <xf numFmtId="0" fontId="2" fillId="0" borderId="0" xfId="1" applyAlignment="1">
      <alignment vertical="top" wrapText="1"/>
    </xf>
    <xf numFmtId="0" fontId="5" fillId="0" borderId="0" xfId="1" applyFont="1" applyAlignment="1">
      <alignment vertical="top" wrapText="1"/>
    </xf>
    <xf numFmtId="0" fontId="0" fillId="0" borderId="0" xfId="0" applyFont="1" applyAlignment="1">
      <alignment vertical="top" wrapText="1"/>
    </xf>
  </cellXfs>
  <cellStyles count="4">
    <cellStyle name="Hyperlink" xfId="1" builtinId="8"/>
    <cellStyle name="Hyperlink 2" xfId="3" xr:uid="{577D6DFD-8EDA-4F0C-84E6-6DD7C27B0077}"/>
    <cellStyle name="Normal" xfId="0" builtinId="0"/>
    <cellStyle name="Normal 2" xfId="2" xr:uid="{03CF9C94-32CC-42E5-BF74-C85B63412066}"/>
  </cellStyles>
  <dxfs count="156">
    <dxf>
      <fill>
        <patternFill>
          <bgColor theme="7" tint="0.79998168889431442"/>
        </patternFill>
      </fill>
    </dxf>
    <dxf>
      <fill>
        <patternFill>
          <bgColor theme="7" tint="0.79998168889431442"/>
        </patternFill>
      </fill>
    </dxf>
    <dxf>
      <alignment horizontal="general" vertical="top" textRotation="0" wrapText="0" indent="0" justifyLastLine="0" shrinkToFit="0" readingOrder="0"/>
    </dxf>
    <dxf>
      <alignment horizontal="general" vertical="top"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righ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right" vertical="top" textRotation="0" wrapText="0" indent="0" justifyLastLine="0" shrinkToFit="0" readingOrder="0"/>
    </dxf>
    <dxf>
      <font>
        <i/>
      </font>
      <alignment horizontal="general" vertical="top" textRotation="0" wrapText="0" indent="0" justifyLastLine="0" shrinkToFit="0" readingOrder="0"/>
    </dxf>
    <dxf>
      <font>
        <i/>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i/>
      </font>
      <alignment horizontal="general" vertical="top" textRotation="0" wrapText="1" indent="0" justifyLastLine="0" shrinkToFit="0" readingOrder="0"/>
    </dxf>
    <dxf>
      <font>
        <b/>
      </font>
      <alignment horizontal="general" vertical="top" textRotation="0" wrapText="1" indent="0" justifyLastLine="0" shrinkToFit="0" readingOrder="0"/>
    </dxf>
    <dxf>
      <font>
        <b/>
      </font>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i/>
      </font>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i/>
      </font>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i/>
      </font>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i/>
      </font>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i/>
      </font>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font>
        <b val="0"/>
        <i/>
        <strike val="0"/>
        <condense val="0"/>
        <extend val="0"/>
        <outline val="0"/>
        <shadow val="0"/>
        <u val="none"/>
        <vertAlign val="baseline"/>
        <sz val="11"/>
        <color theme="1"/>
        <name val="Calibri"/>
        <family val="2"/>
        <scheme val="minor"/>
      </font>
    </dxf>
    <dxf>
      <font>
        <i/>
      </font>
    </dxf>
    <dxf>
      <font>
        <b/>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val="0"/>
        <i/>
        <strike val="0"/>
        <condense val="0"/>
        <extend val="0"/>
        <outline val="0"/>
        <shadow val="0"/>
        <u val="none"/>
        <vertAlign val="baseline"/>
        <sz val="11"/>
        <color theme="1"/>
        <name val="Calibri"/>
        <family val="2"/>
        <scheme val="minor"/>
      </font>
    </dxf>
    <dxf>
      <font>
        <i/>
      </font>
    </dxf>
    <dxf>
      <font>
        <b/>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val="0"/>
        <i/>
        <strike val="0"/>
        <condense val="0"/>
        <extend val="0"/>
        <outline val="0"/>
        <shadow val="0"/>
        <u val="none"/>
        <vertAlign val="baseline"/>
        <sz val="11"/>
        <color theme="1"/>
        <name val="Calibri"/>
        <family val="2"/>
        <scheme val="minor"/>
      </font>
    </dxf>
    <dxf>
      <font>
        <i/>
      </font>
    </dxf>
    <dxf>
      <font>
        <b/>
      </font>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dxf>
    <dxf>
      <font>
        <b val="0"/>
        <i/>
        <strike val="0"/>
        <condense val="0"/>
        <extend val="0"/>
        <outline val="0"/>
        <shadow val="0"/>
        <u val="none"/>
        <vertAlign val="baseline"/>
        <sz val="11"/>
        <color theme="1"/>
        <name val="Calibri"/>
        <family val="2"/>
        <scheme val="minor"/>
      </font>
    </dxf>
    <dxf>
      <font>
        <i/>
      </font>
    </dxf>
    <dxf>
      <font>
        <b/>
      </font>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i val="0"/>
      </font>
      <numFmt numFmtId="0" formatCode="General"/>
      <alignment horizontal="general" vertical="top"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i/>
      </font>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i/>
      </font>
    </dxf>
    <dxf>
      <font>
        <b/>
        <i val="0"/>
        <strike val="0"/>
        <condense val="0"/>
        <extend val="0"/>
        <outline val="0"/>
        <shadow val="0"/>
        <u val="none"/>
        <vertAlign val="baseline"/>
        <sz val="11"/>
        <color theme="1"/>
        <name val="Calibri"/>
        <family val="2"/>
        <scheme val="minor"/>
      </font>
    </dxf>
    <dxf>
      <font>
        <b/>
      </font>
    </dxf>
    <dxf>
      <numFmt numFmtId="0" formatCode="General"/>
    </dxf>
    <dxf>
      <font>
        <i/>
      </font>
    </dxf>
    <dxf>
      <font>
        <b/>
        <i val="0"/>
        <strike val="0"/>
        <condense val="0"/>
        <extend val="0"/>
        <outline val="0"/>
        <shadow val="0"/>
        <u val="none"/>
        <vertAlign val="baseline"/>
        <sz val="11"/>
        <color theme="1"/>
        <name val="Calibri"/>
        <family val="2"/>
        <scheme val="minor"/>
      </font>
    </dxf>
    <dxf>
      <font>
        <b/>
      </font>
    </dxf>
    <dxf>
      <numFmt numFmtId="0" formatCode="General"/>
    </dxf>
    <dxf>
      <font>
        <i/>
      </font>
    </dxf>
    <dxf>
      <font>
        <b/>
        <i val="0"/>
        <strike val="0"/>
        <condense val="0"/>
        <extend val="0"/>
        <outline val="0"/>
        <shadow val="0"/>
        <u val="none"/>
        <vertAlign val="baseline"/>
        <sz val="11"/>
        <color theme="1"/>
        <name val="Calibri"/>
        <family val="2"/>
        <scheme val="minor"/>
      </font>
    </dxf>
    <dxf>
      <font>
        <b/>
      </font>
    </dxf>
    <dxf>
      <numFmt numFmtId="0" formatCode="General"/>
    </dxf>
    <dxf>
      <font>
        <i/>
      </font>
    </dxf>
    <dxf>
      <font>
        <b/>
        <i val="0"/>
        <strike val="0"/>
        <condense val="0"/>
        <extend val="0"/>
        <outline val="0"/>
        <shadow val="0"/>
        <u val="none"/>
        <vertAlign val="baseline"/>
        <sz val="11"/>
        <color theme="1"/>
        <name val="Calibri"/>
        <family val="2"/>
        <scheme val="minor"/>
      </font>
    </dxf>
    <dxf>
      <font>
        <b/>
      </font>
    </dxf>
    <dxf>
      <numFmt numFmtId="0" formatCode="General"/>
    </dxf>
    <dxf>
      <font>
        <i/>
      </font>
    </dxf>
    <dxf>
      <font>
        <b/>
        <i val="0"/>
        <strike val="0"/>
        <condense val="0"/>
        <extend val="0"/>
        <outline val="0"/>
        <shadow val="0"/>
        <u val="none"/>
        <vertAlign val="baseline"/>
        <sz val="11"/>
        <color theme="1"/>
        <name val="Calibri"/>
        <family val="2"/>
        <scheme val="minor"/>
      </font>
    </dxf>
    <dxf>
      <font>
        <b/>
      </font>
    </dxf>
    <dxf>
      <numFmt numFmtId="0" formatCode="General"/>
    </dxf>
    <dxf>
      <font>
        <i/>
      </font>
    </dxf>
    <dxf>
      <font>
        <b/>
        <i val="0"/>
        <strike val="0"/>
        <condense val="0"/>
        <extend val="0"/>
        <outline val="0"/>
        <shadow val="0"/>
        <u val="none"/>
        <vertAlign val="baseline"/>
        <sz val="11"/>
        <color theme="1"/>
        <name val="Calibri"/>
        <family val="2"/>
        <scheme val="minor"/>
      </font>
    </dxf>
    <dxf>
      <font>
        <b/>
      </font>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font>
        <i/>
      </font>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vertAlign val="baseline"/>
        <sz val="11"/>
        <color auto="1"/>
        <name val="Calibri"/>
        <family val="2"/>
        <scheme val="minor"/>
      </font>
      <numFmt numFmtId="0" formatCode="General"/>
      <alignment horizontal="left" vertical="center" textRotation="0" wrapText="0" indent="0" justifyLastLine="0" shrinkToFit="0" readingOrder="0"/>
    </dxf>
    <dxf>
      <font>
        <strike val="0"/>
        <outline val="0"/>
        <shadow val="0"/>
        <vertAlign val="baseline"/>
        <sz val="11"/>
        <color auto="1"/>
        <name val="Calibri"/>
        <family val="2"/>
        <scheme val="minor"/>
      </font>
      <numFmt numFmtId="0" formatCode="General"/>
      <alignment horizontal="left" vertical="center" textRotation="0" wrapText="0" indent="0" justifyLastLine="0" shrinkToFit="0" readingOrder="0"/>
    </dxf>
    <dxf>
      <font>
        <strike val="0"/>
        <outline val="0"/>
        <shadow val="0"/>
        <vertAlign val="baseline"/>
        <sz val="11"/>
        <color auto="1"/>
        <name val="Calibri"/>
        <family val="2"/>
        <scheme val="minor"/>
      </font>
      <alignment horizontal="left" vertical="center" textRotation="0" wrapText="0" indent="0" justifyLastLine="0" shrinkToFit="0" readingOrder="0"/>
      <border diagonalUp="0" diagonalDown="0">
        <left/>
        <right style="thin">
          <color indexed="64"/>
        </right>
        <top/>
        <bottom/>
        <vertical/>
        <horizontal/>
      </border>
    </dxf>
    <dxf>
      <font>
        <strike val="0"/>
        <outline val="0"/>
        <shadow val="0"/>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strike val="0"/>
        <outline val="0"/>
        <shadow val="0"/>
        <vertAlign val="baseline"/>
        <sz val="11"/>
        <color auto="1"/>
        <name val="Calibri"/>
        <family val="2"/>
        <scheme val="minor"/>
      </font>
      <alignment horizontal="left" vertical="center" textRotation="0" wrapText="0" indent="0" justifyLastLine="0" shrinkToFit="0" readingOrder="0"/>
      <border diagonalUp="0" diagonalDown="0" outline="0">
        <left/>
        <right style="thin">
          <color indexed="64"/>
        </right>
        <top/>
        <bottom/>
      </border>
    </dxf>
    <dxf>
      <font>
        <b/>
        <strike val="0"/>
        <outline val="0"/>
        <shadow val="0"/>
        <vertAlign val="baseline"/>
        <sz val="11"/>
        <color auto="1"/>
        <name val="Calibri"/>
        <family val="2"/>
        <scheme val="minor"/>
      </font>
      <alignment horizontal="left" vertical="center" textRotation="0" wrapText="0" indent="0" justifyLastLine="0" shrinkToFit="0" readingOrder="0"/>
    </dxf>
    <dxf>
      <font>
        <strike val="0"/>
        <outline val="0"/>
        <shadow val="0"/>
        <vertAlign val="baseline"/>
        <sz val="11"/>
        <color auto="1"/>
        <name val="Calibri"/>
        <family val="2"/>
        <scheme val="minor"/>
      </font>
      <alignment horizontal="left" vertical="center" textRotation="0" wrapText="0" indent="0" justifyLastLine="0" shrinkToFit="0" readingOrder="0"/>
    </dxf>
    <dxf>
      <font>
        <b/>
        <strike val="0"/>
        <outline val="0"/>
        <shadow val="0"/>
        <vertAlign val="baseline"/>
        <sz val="11"/>
        <color auto="1"/>
        <name val="Calibri"/>
        <family val="2"/>
        <scheme val="minor"/>
      </font>
      <alignment horizontal="left" vertical="center" textRotation="0" wrapText="0" indent="0" justifyLastLine="0" shrinkToFit="0" readingOrder="0"/>
    </dxf>
    <dxf>
      <font>
        <strike val="0"/>
        <outline val="0"/>
        <shadow val="0"/>
        <vertAlign val="baseline"/>
        <sz val="11"/>
        <color auto="1"/>
        <name val="Calibri"/>
        <family val="2"/>
        <scheme val="minor"/>
      </font>
      <alignment horizontal="left" vertical="center" textRotation="0" wrapText="0" indent="0" justifyLastLine="0" shrinkToFit="0" readingOrder="0"/>
    </dxf>
    <dxf>
      <font>
        <strike val="0"/>
        <outline val="0"/>
        <shadow val="0"/>
        <vertAlign val="baseline"/>
        <sz val="11"/>
        <color auto="1"/>
        <name val="Calibri"/>
        <family val="2"/>
        <scheme val="minor"/>
      </font>
      <alignment horizontal="left" vertical="center" textRotation="0" wrapText="0" indent="0" justifyLastLine="0" shrinkToFit="0" readingOrder="0"/>
      <border diagonalUp="0" diagonalDown="0">
        <left/>
        <right style="thin">
          <color indexed="64"/>
        </right>
        <top/>
        <bottom/>
        <vertical/>
        <horizontal/>
      </border>
    </dxf>
    <dxf>
      <font>
        <strike val="0"/>
        <outline val="0"/>
        <shadow val="0"/>
        <vertAlign val="baseline"/>
        <sz val="11"/>
        <color auto="1"/>
        <name val="Calibri"/>
        <family val="2"/>
        <scheme val="minor"/>
      </font>
      <alignment horizontal="left" vertical="center" textRotation="0" wrapText="0" indent="0" justifyLastLine="0" shrinkToFit="0" readingOrder="0"/>
      <border diagonalUp="0" diagonalDown="0">
        <left/>
        <right style="thin">
          <color indexed="64"/>
        </right>
        <top/>
        <bottom/>
        <vertical/>
        <horizontal/>
      </border>
    </dxf>
    <dxf>
      <font>
        <i/>
        <strike val="0"/>
        <outline val="0"/>
        <shadow val="0"/>
        <vertAlign val="baseline"/>
        <sz val="11"/>
        <color auto="1"/>
        <name val="Calibri"/>
        <family val="2"/>
        <scheme val="minor"/>
      </font>
      <alignment horizontal="left" vertical="center" textRotation="0" wrapText="0" indent="0" justifyLastLine="0" shrinkToFit="0" readingOrder="0"/>
      <border outline="0">
        <left style="thin">
          <color indexed="64"/>
        </left>
      </border>
    </dxf>
    <dxf>
      <font>
        <b val="0"/>
        <i val="0"/>
        <strike val="0"/>
        <condense val="0"/>
        <extend val="0"/>
        <outline val="0"/>
        <shadow val="0"/>
        <u val="none"/>
        <vertAlign val="baseline"/>
        <sz val="11"/>
        <color auto="1"/>
        <name val="Calibri"/>
        <family val="2"/>
        <scheme val="minor"/>
      </font>
      <numFmt numFmtId="0" formatCode="General"/>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left" vertical="center" textRotation="0" wrapText="0" indent="0" justifyLastLine="0" shrinkToFit="0" readingOrder="0"/>
    </dxf>
    <dxf>
      <font>
        <strike val="0"/>
        <outline val="0"/>
        <shadow val="0"/>
        <u val="none"/>
        <vertAlign val="baseline"/>
        <sz val="11"/>
        <color auto="1"/>
        <name val="Calibri"/>
        <family val="2"/>
        <scheme val="minor"/>
      </font>
      <numFmt numFmtId="164" formatCode="[&lt;=9999999]###\-####;###\-###\-####"/>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1"/>
        <color auto="1"/>
        <name val="Calibri"/>
        <family val="2"/>
        <scheme val="minor"/>
      </font>
      <numFmt numFmtId="164" formatCode="[&lt;=9999999]###\-####;###\-###\-####"/>
      <alignment horizontal="left" vertical="center" textRotation="0" wrapText="0" indent="0" justifyLastLine="0" shrinkToFit="0" readingOrder="0"/>
    </dxf>
    <dxf>
      <font>
        <strike val="0"/>
        <outline val="0"/>
        <shadow val="0"/>
        <u val="none"/>
        <vertAlign val="baseline"/>
        <sz val="11"/>
        <color auto="1"/>
        <name val="Calibri"/>
        <family val="2"/>
        <scheme val="minor"/>
      </font>
      <numFmt numFmtId="164" formatCode="[&lt;=9999999]###\-####;###\-###\-####"/>
      <alignment horizontal="center" vertical="center" textRotation="0" wrapText="0" indent="0" justifyLastLine="0" shrinkToFit="0" readingOrder="0"/>
    </dxf>
    <dxf>
      <font>
        <strike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strike val="0"/>
        <outline val="0"/>
        <shadow val="0"/>
        <u val="none"/>
        <vertAlign val="baseline"/>
        <sz val="11"/>
        <color auto="1"/>
        <name val="Calibri"/>
        <family val="2"/>
        <scheme val="minor"/>
      </font>
      <alignment horizontal="left" vertical="center" textRotation="0" wrapText="0" indent="0" justifyLastLine="0" shrinkToFit="0" readingOrder="0"/>
    </dxf>
    <dxf>
      <font>
        <strike val="0"/>
        <outline val="0"/>
        <shadow val="0"/>
        <u val="none"/>
        <vertAlign val="baseline"/>
        <sz val="11"/>
        <color auto="1"/>
        <name val="Calibri"/>
        <family val="2"/>
        <scheme val="minor"/>
      </font>
      <alignment horizontal="left" vertical="center" textRotation="0" wrapText="0" indent="0" justifyLastLine="0" shrinkToFit="0" readingOrder="0"/>
    </dxf>
    <dxf>
      <font>
        <strike val="0"/>
        <outline val="0"/>
        <shadow val="0"/>
        <vertAlign val="baseline"/>
        <sz val="11"/>
        <color auto="1"/>
        <name val="Calibri"/>
        <family val="2"/>
        <scheme val="minor"/>
      </font>
      <alignment horizontal="left"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strike val="0"/>
        <outline val="0"/>
        <shadow val="0"/>
        <u val="none"/>
        <vertAlign val="baseline"/>
        <sz val="11"/>
        <color auto="1"/>
        <name val="Calibri"/>
        <family val="2"/>
        <scheme val="minor"/>
      </font>
      <alignment horizontal="left" vertical="center" textRotation="0" wrapText="0" indent="0" justifyLastLine="0" shrinkToFit="0" readingOrder="0"/>
    </dxf>
    <dxf>
      <font>
        <strike val="0"/>
        <outline val="0"/>
        <shadow val="0"/>
        <vertAlign val="baseline"/>
        <sz val="11"/>
        <color auto="1"/>
        <name val="Calibri"/>
        <family val="2"/>
        <scheme val="minor"/>
      </font>
      <alignment horizontal="left" vertical="center" textRotation="0" wrapText="0" indent="0" justifyLastLine="0" shrinkToFit="0" readingOrder="0"/>
    </dxf>
    <dxf>
      <font>
        <strike val="0"/>
        <outline val="0"/>
        <shadow val="0"/>
        <u val="none"/>
        <vertAlign val="baseline"/>
        <sz val="11"/>
        <color theme="0"/>
        <name val="Calibri"/>
        <family val="2"/>
        <scheme val="minor"/>
      </font>
      <alignment textRotation="0" wrapText="0" indent="0" justifyLastLine="0" shrinkToFit="0" readingOrder="0"/>
    </dxf>
    <dxf>
      <font>
        <i/>
      </font>
      <alignment horizontal="general" vertical="top" textRotation="0" wrapText="1" indent="0" justifyLastLine="0" shrinkToFit="0" readingOrder="0"/>
    </dxf>
    <dxf>
      <font>
        <i/>
      </font>
      <alignment horizontal="general" vertical="top"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general" vertical="top" textRotation="0" wrapText="0" indent="0" justifyLastLine="0" shrinkToFit="0" readingOrder="0"/>
    </dxf>
    <dxf>
      <font>
        <i/>
      </font>
      <alignment vertical="top" textRotation="0" indent="0" justifyLastLine="0" shrinkToFit="0" readingOrder="0"/>
    </dxf>
    <dxf>
      <font>
        <i/>
      </font>
      <alignment horizontal="general" vertical="top" textRotation="0" wrapText="1" indent="0" justifyLastLine="0" shrinkToFit="0" readingOrder="0"/>
    </dxf>
    <dxf>
      <font>
        <b/>
      </font>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s>
  <tableStyles count="0" defaultTableStyle="TableStyleMedium1"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Organizations</a:t>
            </a:r>
            <a:r>
              <a:rPr lang="en-US" baseline="0"/>
              <a:t> by Type</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TYPES!$C$1</c:f>
              <c:strCache>
                <c:ptCount val="1"/>
                <c:pt idx="0">
                  <c:v>Count</c:v>
                </c:pt>
              </c:strCache>
            </c:strRef>
          </c:tx>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TYPES!$A$2:$B$7</c:f>
              <c:multiLvlStrCache>
                <c:ptCount val="6"/>
                <c:lvl>
                  <c:pt idx="0">
                    <c:v>Churches and community groups</c:v>
                  </c:pt>
                  <c:pt idx="1">
                    <c:v>Owned and operated by a sovereign First Nation or the Metis Nation. </c:v>
                  </c:pt>
                  <c:pt idx="2">
                    <c:v>Privately owned corporate entities</c:v>
                  </c:pt>
                  <c:pt idx="3">
                    <c:v>Incorporated under federal or provincial non-profit legislature</c:v>
                  </c:pt>
                  <c:pt idx="4">
                    <c:v>All educational institutions regardless of adminstrative consideration</c:v>
                  </c:pt>
                  <c:pt idx="5">
                    <c:v>Owned and operated by the public </c:v>
                  </c:pt>
                </c:lvl>
                <c:lvl>
                  <c:pt idx="0">
                    <c:v>Other</c:v>
                  </c:pt>
                  <c:pt idx="1">
                    <c:v>Indigenous</c:v>
                  </c:pt>
                  <c:pt idx="2">
                    <c:v>Private</c:v>
                  </c:pt>
                  <c:pt idx="3">
                    <c:v>NP</c:v>
                  </c:pt>
                  <c:pt idx="4">
                    <c:v>Academic</c:v>
                  </c:pt>
                  <c:pt idx="5">
                    <c:v>Public</c:v>
                  </c:pt>
                </c:lvl>
              </c:multiLvlStrCache>
            </c:multiLvlStrRef>
          </c:cat>
          <c:val>
            <c:numRef>
              <c:f>TYPES!$C$2:$C$7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482-4329-8E13-69F5B7002D6E}"/>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Indigenous</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TYPES!$G$1</c:f>
              <c:strCache>
                <c:ptCount val="1"/>
                <c:pt idx="0">
                  <c:v>Count</c:v>
                </c:pt>
              </c:strCache>
            </c:strRef>
          </c:tx>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TYPES!$E$2:$E$7</c:f>
              <c:strCache>
                <c:ptCount val="5"/>
                <c:pt idx="0">
                  <c:v>Partnership</c:v>
                </c:pt>
                <c:pt idx="1">
                  <c:v>FSIN</c:v>
                </c:pt>
                <c:pt idx="2">
                  <c:v>Tribal Council</c:v>
                </c:pt>
                <c:pt idx="3">
                  <c:v>Metis Nation</c:v>
                </c:pt>
                <c:pt idx="4">
                  <c:v>First Nation</c:v>
                </c:pt>
              </c:strCache>
            </c:strRef>
          </c:cat>
          <c:val>
            <c:numRef>
              <c:f>TYPES!$G$2:$G$7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9AE4-47C8-A4FE-499BB1432E7C}"/>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Non-Profit</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TYPES!$I$2:$I$13</c:f>
              <c:strCache>
                <c:ptCount val="12"/>
                <c:pt idx="0">
                  <c:v>Land Trust</c:v>
                </c:pt>
                <c:pt idx="1">
                  <c:v>SCR District</c:v>
                </c:pt>
                <c:pt idx="2">
                  <c:v>Land Management</c:v>
                </c:pt>
                <c:pt idx="3">
                  <c:v>Friendship Centre</c:v>
                </c:pt>
                <c:pt idx="4">
                  <c:v>Watershed Association</c:v>
                </c:pt>
                <c:pt idx="5">
                  <c:v>Outreach</c:v>
                </c:pt>
                <c:pt idx="6">
                  <c:v>Arts Council</c:v>
                </c:pt>
                <c:pt idx="7">
                  <c:v>Individual</c:v>
                </c:pt>
                <c:pt idx="8">
                  <c:v>Organizational</c:v>
                </c:pt>
                <c:pt idx="9">
                  <c:v>Nature</c:v>
                </c:pt>
                <c:pt idx="10">
                  <c:v>Art General</c:v>
                </c:pt>
                <c:pt idx="11">
                  <c:v>Heritage</c:v>
                </c:pt>
              </c:strCache>
            </c:strRef>
          </c:cat>
          <c:val>
            <c:numRef>
              <c:f>TYPES!$K$2:$K$13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F37-4AD3-A620-71FA254E4ED3}"/>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Private</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TYPES!$M$2:$M$6</c:f>
              <c:strCache>
                <c:ptCount val="4"/>
                <c:pt idx="0">
                  <c:v>Outfitter</c:v>
                </c:pt>
                <c:pt idx="1">
                  <c:v>Land/Business</c:v>
                </c:pt>
                <c:pt idx="2">
                  <c:v>Retailer</c:v>
                </c:pt>
                <c:pt idx="3">
                  <c:v>Contractor</c:v>
                </c:pt>
              </c:strCache>
            </c:strRef>
          </c:cat>
          <c:val>
            <c:numRef>
              <c:f>TYPES!$O$2:$O$6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0947-40B2-BE62-4957489EB6A9}"/>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Public</a:t>
            </a:r>
            <a:r>
              <a:rPr lang="en-CA" baseline="0"/>
              <a:t> </a:t>
            </a:r>
            <a:endParaRPr lang="en-CA"/>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TYPES!$Q$2:$Q$9</c:f>
              <c:strCache>
                <c:ptCount val="8"/>
                <c:pt idx="0">
                  <c:v>Crown Corporation</c:v>
                </c:pt>
                <c:pt idx="1">
                  <c:v>Ministry</c:v>
                </c:pt>
                <c:pt idx="2">
                  <c:v>Department</c:v>
                </c:pt>
                <c:pt idx="3">
                  <c:v>Library District</c:v>
                </c:pt>
                <c:pt idx="4">
                  <c:v>Agency</c:v>
                </c:pt>
                <c:pt idx="5">
                  <c:v>Protected Area</c:v>
                </c:pt>
                <c:pt idx="6">
                  <c:v>Institution</c:v>
                </c:pt>
                <c:pt idx="7">
                  <c:v>Government</c:v>
                </c:pt>
              </c:strCache>
            </c:strRef>
          </c:cat>
          <c:val>
            <c:numRef>
              <c:f>TYPES!$S$2:$S$9</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DEE-4F08-A734-74332D282054}"/>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Academic </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TYPES!$U$2:$U$18</c:f>
              <c:strCache>
                <c:ptCount val="17"/>
                <c:pt idx="0">
                  <c:v>Other Culture</c:v>
                </c:pt>
                <c:pt idx="1">
                  <c:v>Mennonite</c:v>
                </c:pt>
                <c:pt idx="2">
                  <c:v>Montessori</c:v>
                </c:pt>
                <c:pt idx="3">
                  <c:v>Affiliated College</c:v>
                </c:pt>
                <c:pt idx="4">
                  <c:v>Virtual</c:v>
                </c:pt>
                <c:pt idx="5">
                  <c:v>Federated College</c:v>
                </c:pt>
                <c:pt idx="6">
                  <c:v>University</c:v>
                </c:pt>
                <c:pt idx="7">
                  <c:v>School Division</c:v>
                </c:pt>
                <c:pt idx="8">
                  <c:v>Christian</c:v>
                </c:pt>
                <c:pt idx="9">
                  <c:v>College</c:v>
                </c:pt>
                <c:pt idx="10">
                  <c:v>Independent</c:v>
                </c:pt>
                <c:pt idx="11">
                  <c:v>French</c:v>
                </c:pt>
                <c:pt idx="12">
                  <c:v>Hutterite</c:v>
                </c:pt>
                <c:pt idx="13">
                  <c:v>Indigenous</c:v>
                </c:pt>
                <c:pt idx="14">
                  <c:v>Catholic</c:v>
                </c:pt>
                <c:pt idx="15">
                  <c:v>High</c:v>
                </c:pt>
                <c:pt idx="16">
                  <c:v>Elementary</c:v>
                </c:pt>
              </c:strCache>
            </c:strRef>
          </c:cat>
          <c:val>
            <c:numRef>
              <c:f>TYPES!$W$2:$W$18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8D6-4184-949B-1B653B1797E9}"/>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Other</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TYPES!$Y$2:$Y$3</c:f>
              <c:strCache>
                <c:ptCount val="2"/>
                <c:pt idx="0">
                  <c:v>Community Group</c:v>
                </c:pt>
                <c:pt idx="1">
                  <c:v>Church</c:v>
                </c:pt>
              </c:strCache>
            </c:strRef>
          </c:cat>
          <c:val>
            <c:numRef>
              <c:f>TYPES!$AA$2:$AA$3</c:f>
              <c:numCache>
                <c:formatCode>General</c:formatCode>
                <c:ptCount val="2"/>
                <c:pt idx="0">
                  <c:v>0</c:v>
                </c:pt>
                <c:pt idx="1">
                  <c:v>0</c:v>
                </c:pt>
              </c:numCache>
            </c:numRef>
          </c:val>
          <c:extLst>
            <c:ext xmlns:c16="http://schemas.microsoft.com/office/drawing/2014/chart" uri="{C3380CC4-5D6E-409C-BE32-E72D297353CC}">
              <c16:uniqueId val="{00000003-7292-473E-8AAD-7FF3C6930483}"/>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Conserving</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CAT!$M$2:$M$14</c:f>
              <c:strCache>
                <c:ptCount val="13"/>
                <c:pt idx="0">
                  <c:v>Herbarium</c:v>
                </c:pt>
                <c:pt idx="1">
                  <c:v>Zoo</c:v>
                </c:pt>
                <c:pt idx="2">
                  <c:v>Publication</c:v>
                </c:pt>
                <c:pt idx="3">
                  <c:v>Research</c:v>
                </c:pt>
                <c:pt idx="4">
                  <c:v>Metis</c:v>
                </c:pt>
                <c:pt idx="5">
                  <c:v>First Nations</c:v>
                </c:pt>
                <c:pt idx="6">
                  <c:v>Archive</c:v>
                </c:pt>
                <c:pt idx="7">
                  <c:v>Art Gallery</c:v>
                </c:pt>
                <c:pt idx="8">
                  <c:v>Cultural</c:v>
                </c:pt>
                <c:pt idx="9">
                  <c:v>Built</c:v>
                </c:pt>
                <c:pt idx="10">
                  <c:v>Natural</c:v>
                </c:pt>
                <c:pt idx="11">
                  <c:v>Museum</c:v>
                </c:pt>
                <c:pt idx="12">
                  <c:v>Library</c:v>
                </c:pt>
              </c:strCache>
            </c:strRef>
          </c:cat>
          <c:val>
            <c:numRef>
              <c:f>CAT!$O$2:$O$14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6-FA5A-4E45-8984-3D0CC7C8FD11}"/>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Facilitating</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CAT!$I$2:$I$10</c:f>
              <c:strCache>
                <c:ptCount val="9"/>
                <c:pt idx="0">
                  <c:v>Materials</c:v>
                </c:pt>
                <c:pt idx="1">
                  <c:v>Restoration</c:v>
                </c:pt>
                <c:pt idx="2">
                  <c:v>Engineering</c:v>
                </c:pt>
                <c:pt idx="3">
                  <c:v>Venue</c:v>
                </c:pt>
                <c:pt idx="4">
                  <c:v>Project Manager</c:v>
                </c:pt>
                <c:pt idx="5">
                  <c:v>Planning</c:v>
                </c:pt>
                <c:pt idx="6">
                  <c:v>Skilled Trade/Craft</c:v>
                </c:pt>
                <c:pt idx="7">
                  <c:v>General Contractor</c:v>
                </c:pt>
                <c:pt idx="8">
                  <c:v>Architecture</c:v>
                </c:pt>
              </c:strCache>
            </c:strRef>
          </c:cat>
          <c:val>
            <c:numRef>
              <c:f>CAT!$K$2:$K$10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3C72-49E7-80F1-40A1EAF852B0}"/>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Supporting</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CAT!$Q$2:$Q$11</c:f>
              <c:strCache>
                <c:ptCount val="10"/>
                <c:pt idx="0">
                  <c:v>Volunteerism</c:v>
                </c:pt>
                <c:pt idx="1">
                  <c:v>Database</c:v>
                </c:pt>
                <c:pt idx="2">
                  <c:v>Art</c:v>
                </c:pt>
                <c:pt idx="3">
                  <c:v>Funding</c:v>
                </c:pt>
                <c:pt idx="4">
                  <c:v>ICH</c:v>
                </c:pt>
                <c:pt idx="5">
                  <c:v>Professional Association</c:v>
                </c:pt>
                <c:pt idx="6">
                  <c:v>Environmental</c:v>
                </c:pt>
                <c:pt idx="7">
                  <c:v>Cultural Group(s)</c:v>
                </c:pt>
                <c:pt idx="8">
                  <c:v>Network</c:v>
                </c:pt>
                <c:pt idx="9">
                  <c:v>Education</c:v>
                </c:pt>
              </c:strCache>
            </c:strRef>
          </c:cat>
          <c:val>
            <c:numRef>
              <c:f>CAT!$S$2:$S$11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C6FA-4EDF-B732-098DF769BB45}"/>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Governing</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CAT!$E$2:$E$15</c:f>
              <c:strCache>
                <c:ptCount val="14"/>
                <c:pt idx="0">
                  <c:v>Canada</c:v>
                </c:pt>
                <c:pt idx="1">
                  <c:v>Northern Town</c:v>
                </c:pt>
                <c:pt idx="2">
                  <c:v>Saskatchewan</c:v>
                </c:pt>
                <c:pt idx="3">
                  <c:v>Tribal Council</c:v>
                </c:pt>
                <c:pt idx="4">
                  <c:v>Northern Hamlet</c:v>
                </c:pt>
                <c:pt idx="5">
                  <c:v>Northern Village</c:v>
                </c:pt>
                <c:pt idx="6">
                  <c:v>Metis Nation</c:v>
                </c:pt>
                <c:pt idx="7">
                  <c:v>City</c:v>
                </c:pt>
                <c:pt idx="8">
                  <c:v>Resort Village</c:v>
                </c:pt>
                <c:pt idx="9">
                  <c:v>Organized Hamlet</c:v>
                </c:pt>
                <c:pt idx="10">
                  <c:v>First Nation</c:v>
                </c:pt>
                <c:pt idx="11">
                  <c:v>Town</c:v>
                </c:pt>
                <c:pt idx="12">
                  <c:v>Rural Municipality</c:v>
                </c:pt>
                <c:pt idx="13">
                  <c:v>Village</c:v>
                </c:pt>
              </c:strCache>
            </c:strRef>
          </c:cat>
          <c:val>
            <c:numRef>
              <c:f>CAT!$G$2:$G$15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157-4C98-8110-827E7F69BEBF}"/>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Organizations</a:t>
            </a:r>
            <a:r>
              <a:rPr lang="en-CA" baseline="0"/>
              <a:t> by Category</a:t>
            </a:r>
            <a:endParaRPr lang="en-CA"/>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CAT!$A$2:$B$5</c:f>
              <c:multiLvlStrCache>
                <c:ptCount val="4"/>
                <c:lvl>
                  <c:pt idx="0">
                    <c:v>Assists in the planning, restoration, rehabilitation, maintenance, or celebration of heritage</c:v>
                  </c:pt>
                  <c:pt idx="1">
                    <c:v>Responsible for setting policies and overseeing process of heritage conservation</c:v>
                  </c:pt>
                  <c:pt idx="2">
                    <c:v>Actively working to conserve tangible or intangible cultural heritage. </c:v>
                  </c:pt>
                  <c:pt idx="3">
                    <c:v>Connects, empowers, or educates organizations performing on the ground work. </c:v>
                  </c:pt>
                </c:lvl>
                <c:lvl>
                  <c:pt idx="0">
                    <c:v>Facilitating</c:v>
                  </c:pt>
                  <c:pt idx="1">
                    <c:v>Governing</c:v>
                  </c:pt>
                  <c:pt idx="2">
                    <c:v>Conserving</c:v>
                  </c:pt>
                  <c:pt idx="3">
                    <c:v>Supporting</c:v>
                  </c:pt>
                </c:lvl>
              </c:multiLvlStrCache>
            </c:multiLvlStrRef>
          </c:cat>
          <c:val>
            <c:numRef>
              <c:f>CAT!$C$2:$C$5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BFF6-4343-B51A-2A315EDA5132}"/>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Organizations by Jurisdiction</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TAGS!$C$1</c:f>
              <c:strCache>
                <c:ptCount val="1"/>
                <c:pt idx="0">
                  <c:v>Count</c:v>
                </c:pt>
              </c:strCache>
            </c:strRef>
          </c:tx>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TAGS!$A$2:$B$5</c:f>
              <c:multiLvlStrCache>
                <c:ptCount val="4"/>
                <c:lvl>
                  <c:pt idx="0">
                    <c:v>Mandate covers all of Canada</c:v>
                  </c:pt>
                  <c:pt idx="1">
                    <c:v>Mandate covers entirety of Saskatchewan</c:v>
                  </c:pt>
                  <c:pt idx="2">
                    <c:v>Operates primarily within multiple communties</c:v>
                  </c:pt>
                  <c:pt idx="3">
                    <c:v>Operates primarily within a single community</c:v>
                  </c:pt>
                </c:lvl>
                <c:lvl>
                  <c:pt idx="0">
                    <c:v>National</c:v>
                  </c:pt>
                  <c:pt idx="1">
                    <c:v>Provincial</c:v>
                  </c:pt>
                  <c:pt idx="2">
                    <c:v>Regional</c:v>
                  </c:pt>
                  <c:pt idx="3">
                    <c:v>Local</c:v>
                  </c:pt>
                </c:lvl>
              </c:multiLvlStrCache>
            </c:multiLvlStrRef>
          </c:cat>
          <c:val>
            <c:numRef>
              <c:f>TAGS!$C$2:$C$5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5EE5-454B-8FCA-8E55FD179403}"/>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Tangible Heritage</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TAGS!$E$2:$E$15</c:f>
              <c:strCache>
                <c:ptCount val="14"/>
                <c:pt idx="0">
                  <c:v>Biosphere Reserve</c:v>
                </c:pt>
                <c:pt idx="1">
                  <c:v>National Park</c:v>
                </c:pt>
                <c:pt idx="2">
                  <c:v>Zoo/ Botanical Gardens</c:v>
                </c:pt>
                <c:pt idx="3">
                  <c:v>Provincial Historic Park</c:v>
                </c:pt>
                <c:pt idx="4">
                  <c:v>National Wildlife Area</c:v>
                </c:pt>
                <c:pt idx="5">
                  <c:v>Archaeology</c:v>
                </c:pt>
                <c:pt idx="6">
                  <c:v>Representative Area</c:v>
                </c:pt>
                <c:pt idx="7">
                  <c:v>Migratory Bird Sanctuary</c:v>
                </c:pt>
                <c:pt idx="8">
                  <c:v>Provincial Park</c:v>
                </c:pt>
                <c:pt idx="9">
                  <c:v>National Historic Site</c:v>
                </c:pt>
                <c:pt idx="10">
                  <c:v>Regional Park</c:v>
                </c:pt>
                <c:pt idx="11">
                  <c:v>Structure(s)</c:v>
                </c:pt>
                <c:pt idx="12">
                  <c:v>Heritage Site/ Village</c:v>
                </c:pt>
                <c:pt idx="13">
                  <c:v>Conservation Area(s)</c:v>
                </c:pt>
              </c:strCache>
            </c:strRef>
          </c:cat>
          <c:val>
            <c:numRef>
              <c:f>TAGS!$G$2:$G$15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28C-4B66-B55E-92956C4AC515}"/>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Cultural Property</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TAGS!$I$2:$I$10</c:f>
              <c:strCache>
                <c:ptCount val="9"/>
                <c:pt idx="0">
                  <c:v>Musical</c:v>
                </c:pt>
                <c:pt idx="1">
                  <c:v>Military</c:v>
                </c:pt>
                <c:pt idx="2">
                  <c:v>Decorative Arts</c:v>
                </c:pt>
                <c:pt idx="3">
                  <c:v>Fine Arts</c:v>
                </c:pt>
                <c:pt idx="4">
                  <c:v>Archival</c:v>
                </c:pt>
                <c:pt idx="5">
                  <c:v>Audiovisual Collections</c:v>
                </c:pt>
                <c:pt idx="6">
                  <c:v>Technological</c:v>
                </c:pt>
                <c:pt idx="7">
                  <c:v>Natural History</c:v>
                </c:pt>
                <c:pt idx="8">
                  <c:v>Ethnographic</c:v>
                </c:pt>
              </c:strCache>
            </c:strRef>
          </c:cat>
          <c:val>
            <c:numRef>
              <c:f>TAGS!$L$2:$L$10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F211-4B7E-880F-46D613B34A36}"/>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ICH Domain</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TAGS!$R$3:$R$7</c:f>
              <c:strCache>
                <c:ptCount val="5"/>
                <c:pt idx="0">
                  <c:v>Oral Traditions &amp; Language</c:v>
                </c:pt>
                <c:pt idx="1">
                  <c:v>Performing Arts</c:v>
                </c:pt>
                <c:pt idx="2">
                  <c:v>Craftsmanship</c:v>
                </c:pt>
                <c:pt idx="3">
                  <c:v>Knowledge &amp; Nature</c:v>
                </c:pt>
                <c:pt idx="4">
                  <c:v>Social Practises</c:v>
                </c:pt>
              </c:strCache>
            </c:strRef>
          </c:cat>
          <c:val>
            <c:numRef>
              <c:f>TAGS!$T$3:$T$7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786-4C0C-88F2-5AEA9B94DADA}"/>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CA"/>
              <a:t>ICH Goals</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TAGS!$N$3:$N$6</c:f>
              <c:strCache>
                <c:ptCount val="4"/>
                <c:pt idx="0">
                  <c:v>Documentation</c:v>
                </c:pt>
                <c:pt idx="1">
                  <c:v>Recognition &amp; Celebration</c:v>
                </c:pt>
                <c:pt idx="2">
                  <c:v>Transmission</c:v>
                </c:pt>
                <c:pt idx="3">
                  <c:v>Community Development</c:v>
                </c:pt>
              </c:strCache>
            </c:strRef>
          </c:cat>
          <c:val>
            <c:numRef>
              <c:f>TAGS!$P$3:$P$6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A6ED-4C58-BE40-8B85F51DE347}"/>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Organizations</a:t>
            </a:r>
            <a:r>
              <a:rPr lang="en-US" baseline="0"/>
              <a:t> by Reference</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REFS!$A$1</c:f>
              <c:strCache>
                <c:ptCount val="1"/>
                <c:pt idx="0">
                  <c:v>Data.Lists</c:v>
                </c:pt>
              </c:strCache>
            </c:strRef>
          </c:tx>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REFS!$B$2:$B$2</c:f>
              <c:numCache>
                <c:formatCode>General</c:formatCode>
                <c:ptCount val="1"/>
              </c:numCache>
            </c:numRef>
          </c:cat>
          <c:val>
            <c:numRef>
              <c:f>REFS!$E$2:$E$2</c:f>
              <c:numCache>
                <c:formatCode>General</c:formatCode>
                <c:ptCount val="1"/>
              </c:numCache>
            </c:numRef>
          </c:val>
          <c:extLst>
            <c:ext xmlns:c16="http://schemas.microsoft.com/office/drawing/2014/chart" uri="{C3380CC4-5D6E-409C-BE32-E72D297353CC}">
              <c16:uniqueId val="{00000000-D618-4ADC-BE43-56D946F1538F}"/>
            </c:ext>
          </c:extLst>
        </c:ser>
        <c:dLbls>
          <c:dLblPos val="outEnd"/>
          <c:showLegendKey val="0"/>
          <c:showVal val="1"/>
          <c:showCatName val="0"/>
          <c:showSerName val="0"/>
          <c:showPercent val="0"/>
          <c:showBubbleSize val="0"/>
        </c:dLbls>
        <c:gapWidth val="75"/>
        <c:overlap val="40"/>
        <c:axId val="234481311"/>
        <c:axId val="234459263"/>
      </c:barChart>
      <c:valAx>
        <c:axId val="23445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81311"/>
        <c:crosses val="autoZero"/>
        <c:crossBetween val="between"/>
      </c:valAx>
      <c:catAx>
        <c:axId val="2344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459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Types by Functional Categories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Types by Functional Categories</a:t>
          </a:r>
        </a:p>
      </cx:txPr>
    </cx:title>
    <cx:plotArea>
      <cx:plotAreaRegion>
        <cx:series layoutId="sunburst" uniqueId="{5660C51C-50ED-4EE0-A380-3079EA78DE46}">
          <cx:tx>
            <cx:txData>
              <cx:f>_xlchart.v1.1</cx:f>
              <cx:v>Total Orgs</cx:v>
            </cx:txData>
          </cx:tx>
          <cx:dataLabels>
            <cx:visibility seriesName="0" categoryName="1" value="1"/>
            <cx:separator>, </cx:separator>
          </cx:dataLabels>
          <cx:dataId val="0"/>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_xlchart.v1.4</cx:f>
      </cx:numDim>
    </cx:data>
  </cx:chartData>
  <cx:chart>
    <cx:title pos="t" align="ctr" overlay="0">
      <cx:tx>
        <cx:txData>
          <cx:v>Categories by Adminstrative Types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Categories by Adminstrative Types</a:t>
          </a:r>
        </a:p>
      </cx:txPr>
    </cx:title>
    <cx:plotArea>
      <cx:plotAreaRegion>
        <cx:series layoutId="sunburst" uniqueId="{B8760277-3720-4124-BD4B-52E63C81D059}" formatIdx="1">
          <cx:dataLabels>
            <cx:visibility seriesName="0" categoryName="1" value="1"/>
            <cx:separator>, </cx:separator>
          </cx:dataLabels>
          <cx:dataId val="0"/>
        </cx:series>
      </cx:plotAreaRegion>
    </cx:plotArea>
  </cx:chart>
</cx: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withinLinear" id="16">
  <a:schemeClr val="accent3"/>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withinLinear" id="16">
  <a:schemeClr val="accent3"/>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withinLinear" id="16">
  <a:schemeClr val="accent3"/>
</cs:colorStyle>
</file>

<file path=xl/charts/colors16.xml><?xml version="1.0" encoding="utf-8"?>
<cs:colorStyle xmlns:cs="http://schemas.microsoft.com/office/drawing/2012/chartStyle" xmlns:a="http://schemas.openxmlformats.org/drawingml/2006/main" meth="withinLinear" id="16">
  <a:schemeClr val="accent3"/>
</cs:colorStyle>
</file>

<file path=xl/charts/colors17.xml><?xml version="1.0" encoding="utf-8"?>
<cs:colorStyle xmlns:cs="http://schemas.microsoft.com/office/drawing/2012/chartStyle" xmlns:a="http://schemas.openxmlformats.org/drawingml/2006/main" meth="withinLinear" id="16">
  <a:schemeClr val="accent3"/>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0</xdr:colOff>
      <xdr:row>20</xdr:row>
      <xdr:rowOff>2618</xdr:rowOff>
    </xdr:from>
    <xdr:to>
      <xdr:col>3</xdr:col>
      <xdr:colOff>38945</xdr:colOff>
      <xdr:row>44</xdr:row>
      <xdr:rowOff>0</xdr:rowOff>
    </xdr:to>
    <xdr:graphicFrame macro="">
      <xdr:nvGraphicFramePr>
        <xdr:cNvPr id="2" name="Chart 1">
          <a:extLst>
            <a:ext uri="{FF2B5EF4-FFF2-40B4-BE49-F238E27FC236}">
              <a16:creationId xmlns:a16="http://schemas.microsoft.com/office/drawing/2014/main" id="{AF442448-4C64-40BB-BF59-8E6F8F770A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138545</xdr:colOff>
      <xdr:row>19</xdr:row>
      <xdr:rowOff>152399</xdr:rowOff>
    </xdr:from>
    <xdr:to>
      <xdr:col>7</xdr:col>
      <xdr:colOff>11236</xdr:colOff>
      <xdr:row>43</xdr:row>
      <xdr:rowOff>149781</xdr:rowOff>
    </xdr:to>
    <xdr:graphicFrame macro="">
      <xdr:nvGraphicFramePr>
        <xdr:cNvPr id="4" name="Chart 3">
          <a:extLst>
            <a:ext uri="{FF2B5EF4-FFF2-40B4-BE49-F238E27FC236}">
              <a16:creationId xmlns:a16="http://schemas.microsoft.com/office/drawing/2014/main" id="{ED3DB24A-60C7-4B2E-85F1-81C28B02A0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19</xdr:row>
      <xdr:rowOff>138544</xdr:rowOff>
    </xdr:from>
    <xdr:to>
      <xdr:col>11</xdr:col>
      <xdr:colOff>38945</xdr:colOff>
      <xdr:row>43</xdr:row>
      <xdr:rowOff>135926</xdr:rowOff>
    </xdr:to>
    <xdr:graphicFrame macro="">
      <xdr:nvGraphicFramePr>
        <xdr:cNvPr id="5" name="Chart 4">
          <a:extLst>
            <a:ext uri="{FF2B5EF4-FFF2-40B4-BE49-F238E27FC236}">
              <a16:creationId xmlns:a16="http://schemas.microsoft.com/office/drawing/2014/main" id="{4AA866B9-F058-403A-9002-F53B5B4BD6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124689</xdr:colOff>
      <xdr:row>19</xdr:row>
      <xdr:rowOff>138544</xdr:rowOff>
    </xdr:from>
    <xdr:to>
      <xdr:col>14</xdr:col>
      <xdr:colOff>1410543</xdr:colOff>
      <xdr:row>43</xdr:row>
      <xdr:rowOff>135926</xdr:rowOff>
    </xdr:to>
    <xdr:graphicFrame macro="">
      <xdr:nvGraphicFramePr>
        <xdr:cNvPr id="6" name="Chart 5">
          <a:extLst>
            <a:ext uri="{FF2B5EF4-FFF2-40B4-BE49-F238E27FC236}">
              <a16:creationId xmlns:a16="http://schemas.microsoft.com/office/drawing/2014/main" id="{685979F9-8646-43BD-9B08-8DCA031F4B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152398</xdr:colOff>
      <xdr:row>19</xdr:row>
      <xdr:rowOff>152399</xdr:rowOff>
    </xdr:from>
    <xdr:to>
      <xdr:col>19</xdr:col>
      <xdr:colOff>11235</xdr:colOff>
      <xdr:row>43</xdr:row>
      <xdr:rowOff>149781</xdr:rowOff>
    </xdr:to>
    <xdr:graphicFrame macro="">
      <xdr:nvGraphicFramePr>
        <xdr:cNvPr id="7" name="Chart 6">
          <a:extLst>
            <a:ext uri="{FF2B5EF4-FFF2-40B4-BE49-F238E27FC236}">
              <a16:creationId xmlns:a16="http://schemas.microsoft.com/office/drawing/2014/main" id="{0E2DF4C4-FE85-411A-83C5-313D9F131F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20</xdr:row>
      <xdr:rowOff>2618</xdr:rowOff>
    </xdr:from>
    <xdr:to>
      <xdr:col>23</xdr:col>
      <xdr:colOff>38946</xdr:colOff>
      <xdr:row>44</xdr:row>
      <xdr:rowOff>0</xdr:rowOff>
    </xdr:to>
    <xdr:graphicFrame macro="">
      <xdr:nvGraphicFramePr>
        <xdr:cNvPr id="9" name="Chart 8">
          <a:extLst>
            <a:ext uri="{FF2B5EF4-FFF2-40B4-BE49-F238E27FC236}">
              <a16:creationId xmlns:a16="http://schemas.microsoft.com/office/drawing/2014/main" id="{AB6094E9-22BD-468D-8D40-15D1A853E3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38592</xdr:colOff>
      <xdr:row>19</xdr:row>
      <xdr:rowOff>174171</xdr:rowOff>
    </xdr:from>
    <xdr:to>
      <xdr:col>27</xdr:col>
      <xdr:colOff>77537</xdr:colOff>
      <xdr:row>43</xdr:row>
      <xdr:rowOff>171553</xdr:rowOff>
    </xdr:to>
    <xdr:graphicFrame macro="">
      <xdr:nvGraphicFramePr>
        <xdr:cNvPr id="8" name="Chart 7">
          <a:extLst>
            <a:ext uri="{FF2B5EF4-FFF2-40B4-BE49-F238E27FC236}">
              <a16:creationId xmlns:a16="http://schemas.microsoft.com/office/drawing/2014/main" id="{C752F6DC-7A87-4CB5-BD7B-461624194E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13854</xdr:colOff>
      <xdr:row>18</xdr:row>
      <xdr:rowOff>5122</xdr:rowOff>
    </xdr:from>
    <xdr:to>
      <xdr:col>15</xdr:col>
      <xdr:colOff>52800</xdr:colOff>
      <xdr:row>42</xdr:row>
      <xdr:rowOff>2504</xdr:rowOff>
    </xdr:to>
    <xdr:graphicFrame macro="">
      <xdr:nvGraphicFramePr>
        <xdr:cNvPr id="3" name="Chart 2">
          <a:extLst>
            <a:ext uri="{FF2B5EF4-FFF2-40B4-BE49-F238E27FC236}">
              <a16:creationId xmlns:a16="http://schemas.microsoft.com/office/drawing/2014/main" id="{6052C2B0-F2EB-4189-A6E9-58853AA6F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18803</xdr:colOff>
      <xdr:row>18</xdr:row>
      <xdr:rowOff>1</xdr:rowOff>
    </xdr:from>
    <xdr:to>
      <xdr:col>11</xdr:col>
      <xdr:colOff>57748</xdr:colOff>
      <xdr:row>41</xdr:row>
      <xdr:rowOff>177492</xdr:rowOff>
    </xdr:to>
    <xdr:graphicFrame macro="">
      <xdr:nvGraphicFramePr>
        <xdr:cNvPr id="4" name="Chart 5">
          <a:extLst>
            <a:ext uri="{FF2B5EF4-FFF2-40B4-BE49-F238E27FC236}">
              <a16:creationId xmlns:a16="http://schemas.microsoft.com/office/drawing/2014/main" id="{8FF52849-CA5A-4849-B4B3-2EB1977335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155019</xdr:colOff>
      <xdr:row>18</xdr:row>
      <xdr:rowOff>21770</xdr:rowOff>
    </xdr:from>
    <xdr:to>
      <xdr:col>19</xdr:col>
      <xdr:colOff>0</xdr:colOff>
      <xdr:row>42</xdr:row>
      <xdr:rowOff>19152</xdr:rowOff>
    </xdr:to>
    <xdr:graphicFrame macro="">
      <xdr:nvGraphicFramePr>
        <xdr:cNvPr id="7" name="Chart 6">
          <a:extLst>
            <a:ext uri="{FF2B5EF4-FFF2-40B4-BE49-F238E27FC236}">
              <a16:creationId xmlns:a16="http://schemas.microsoft.com/office/drawing/2014/main" id="{317BCDE2-5CFC-4070-8D7B-B2D0B569FC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18</xdr:row>
      <xdr:rowOff>-1</xdr:rowOff>
    </xdr:from>
    <xdr:to>
      <xdr:col>7</xdr:col>
      <xdr:colOff>38946</xdr:colOff>
      <xdr:row>41</xdr:row>
      <xdr:rowOff>177490</xdr:rowOff>
    </xdr:to>
    <xdr:graphicFrame macro="">
      <xdr:nvGraphicFramePr>
        <xdr:cNvPr id="10" name="Chart 9">
          <a:extLst>
            <a:ext uri="{FF2B5EF4-FFF2-40B4-BE49-F238E27FC236}">
              <a16:creationId xmlns:a16="http://schemas.microsoft.com/office/drawing/2014/main" id="{5A4DA3EE-1C8F-4A2F-80C7-9DFA1AFFA6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18</xdr:row>
      <xdr:rowOff>0</xdr:rowOff>
    </xdr:from>
    <xdr:to>
      <xdr:col>3</xdr:col>
      <xdr:colOff>62752</xdr:colOff>
      <xdr:row>41</xdr:row>
      <xdr:rowOff>152400</xdr:rowOff>
    </xdr:to>
    <xdr:graphicFrame macro="">
      <xdr:nvGraphicFramePr>
        <xdr:cNvPr id="12" name="Chart 11">
          <a:extLst>
            <a:ext uri="{FF2B5EF4-FFF2-40B4-BE49-F238E27FC236}">
              <a16:creationId xmlns:a16="http://schemas.microsoft.com/office/drawing/2014/main" id="{17DA705E-E6AC-4C5B-970A-E83EA3BEDE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27708</xdr:rowOff>
    </xdr:from>
    <xdr:to>
      <xdr:col>3</xdr:col>
      <xdr:colOff>38945</xdr:colOff>
      <xdr:row>42</xdr:row>
      <xdr:rowOff>149781</xdr:rowOff>
    </xdr:to>
    <xdr:graphicFrame macro="">
      <xdr:nvGraphicFramePr>
        <xdr:cNvPr id="2" name="Chart 1">
          <a:extLst>
            <a:ext uri="{FF2B5EF4-FFF2-40B4-BE49-F238E27FC236}">
              <a16:creationId xmlns:a16="http://schemas.microsoft.com/office/drawing/2014/main" id="{969CBD40-A7CB-415E-A039-A28DBD3FDF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27708</xdr:colOff>
      <xdr:row>19</xdr:row>
      <xdr:rowOff>2618</xdr:rowOff>
    </xdr:from>
    <xdr:to>
      <xdr:col>7</xdr:col>
      <xdr:colOff>66654</xdr:colOff>
      <xdr:row>42</xdr:row>
      <xdr:rowOff>124691</xdr:rowOff>
    </xdr:to>
    <xdr:graphicFrame macro="">
      <xdr:nvGraphicFramePr>
        <xdr:cNvPr id="3" name="Chart 2">
          <a:extLst>
            <a:ext uri="{FF2B5EF4-FFF2-40B4-BE49-F238E27FC236}">
              <a16:creationId xmlns:a16="http://schemas.microsoft.com/office/drawing/2014/main" id="{45673C95-DC83-4F36-A9FB-A5937E8370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235528</xdr:colOff>
      <xdr:row>19</xdr:row>
      <xdr:rowOff>2618</xdr:rowOff>
    </xdr:from>
    <xdr:to>
      <xdr:col>11</xdr:col>
      <xdr:colOff>1216582</xdr:colOff>
      <xdr:row>42</xdr:row>
      <xdr:rowOff>124691</xdr:rowOff>
    </xdr:to>
    <xdr:graphicFrame macro="">
      <xdr:nvGraphicFramePr>
        <xdr:cNvPr id="4" name="Chart 3">
          <a:extLst>
            <a:ext uri="{FF2B5EF4-FFF2-40B4-BE49-F238E27FC236}">
              <a16:creationId xmlns:a16="http://schemas.microsoft.com/office/drawing/2014/main" id="{A07DB495-F5B4-494E-9E6D-F98973EE8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148783</xdr:colOff>
      <xdr:row>19</xdr:row>
      <xdr:rowOff>13700</xdr:rowOff>
    </xdr:from>
    <xdr:to>
      <xdr:col>20</xdr:col>
      <xdr:colOff>0</xdr:colOff>
      <xdr:row>42</xdr:row>
      <xdr:rowOff>69272</xdr:rowOff>
    </xdr:to>
    <xdr:graphicFrame macro="">
      <xdr:nvGraphicFramePr>
        <xdr:cNvPr id="10" name="Chart 9">
          <a:extLst>
            <a:ext uri="{FF2B5EF4-FFF2-40B4-BE49-F238E27FC236}">
              <a16:creationId xmlns:a16="http://schemas.microsoft.com/office/drawing/2014/main" id="{0C2D89CE-7D7A-4DB3-ABF3-3E09237F8C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0</xdr:rowOff>
    </xdr:from>
    <xdr:to>
      <xdr:col>16</xdr:col>
      <xdr:colOff>38945</xdr:colOff>
      <xdr:row>42</xdr:row>
      <xdr:rowOff>122073</xdr:rowOff>
    </xdr:to>
    <xdr:graphicFrame macro="">
      <xdr:nvGraphicFramePr>
        <xdr:cNvPr id="11" name="Chart 10">
          <a:extLst>
            <a:ext uri="{FF2B5EF4-FFF2-40B4-BE49-F238E27FC236}">
              <a16:creationId xmlns:a16="http://schemas.microsoft.com/office/drawing/2014/main" id="{E5DBE0DE-C4EA-49DF-B093-2D1DE9FBB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19396</xdr:colOff>
      <xdr:row>0</xdr:row>
      <xdr:rowOff>0</xdr:rowOff>
    </xdr:from>
    <xdr:to>
      <xdr:col>13</xdr:col>
      <xdr:colOff>542596</xdr:colOff>
      <xdr:row>29</xdr:row>
      <xdr:rowOff>176836</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3C98D02-79EB-4FB6-A12D-5C5825BB111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103716" y="0"/>
              <a:ext cx="5400000" cy="5480356"/>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102523</xdr:colOff>
      <xdr:row>0</xdr:row>
      <xdr:rowOff>3273</xdr:rowOff>
    </xdr:from>
    <xdr:to>
      <xdr:col>27</xdr:col>
      <xdr:colOff>85396</xdr:colOff>
      <xdr:row>30</xdr:row>
      <xdr:rowOff>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6239746F-3FC1-4F97-9C96-456EC16AC5A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3216543" y="3273"/>
              <a:ext cx="5400693" cy="5483127"/>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326571</xdr:colOff>
      <xdr:row>0</xdr:row>
      <xdr:rowOff>119743</xdr:rowOff>
    </xdr:from>
    <xdr:to>
      <xdr:col>13</xdr:col>
      <xdr:colOff>337457</xdr:colOff>
      <xdr:row>30</xdr:row>
      <xdr:rowOff>111522</xdr:rowOff>
    </xdr:to>
    <xdr:graphicFrame macro="">
      <xdr:nvGraphicFramePr>
        <xdr:cNvPr id="2" name="Chart 1">
          <a:extLst>
            <a:ext uri="{FF2B5EF4-FFF2-40B4-BE49-F238E27FC236}">
              <a16:creationId xmlns:a16="http://schemas.microsoft.com/office/drawing/2014/main" id="{AB9130D1-9989-44B4-B54D-FD3DE6577B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namedSheetView name="View1" id="{83738EEF-69F4-4824-A2F3-F02BFB5761C1}">
    <nsvFilter filterId="{3187DA54-3DEA-480F-B795-BA3C7B97A919}" ref="A1:AD2" tableId="1">
      <columnFilter colId="22" id="{A24AEC2C-4D39-4722-B6D6-B04E9640DC00}">
        <filter colId="22">
          <x:filters>
            <x:filter val="Governing"/>
          </x:filters>
        </filter>
      </columnFilter>
      <sortRules>
        <sortRule colId="0" id="{3C0EA3AE-2303-441E-872F-084B0ABCF0F1}">
          <sortCondition ref="A1:A2"/>
        </sortRule>
      </sortRules>
    </nsvFilter>
  </namedSheetView>
</namedSheetView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5CA928C-30BE-42A5-BC78-D606E0F2983B}" name="Sheet.Table" displayName="Sheet.Table" comment="Table of sheets in workbook with descriptions" ref="A1:C9" totalsRowShown="0" headerRowDxfId="155" dataDxfId="154">
  <autoFilter ref="A1:C9" xr:uid="{F07C848A-F213-4685-A619-BAB75F182B39}"/>
  <tableColumns count="3">
    <tableColumn id="1" xr3:uid="{0D323C32-4898-4C10-89B7-9EDDFAE44C27}" name="Sheet" dataDxfId="153"/>
    <tableColumn id="2" xr3:uid="{45C09FF3-F646-4F59-948E-544ED31F3874}" name="Description" dataDxfId="152"/>
    <tableColumn id="3" xr3:uid="{DA1B6663-4C3C-4643-BF75-FD6830CB4F4E}" name="Characteristics" dataDxfId="15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8DD23EC-2B9B-4395-98EB-2A6129A51563}" name="Org.Table.Metadata" displayName="Org.Table.Metadata" comment="Descriptions of columns in organizational database. " ref="A11:C41" totalsRowShown="0">
  <autoFilter ref="A11:C41" xr:uid="{19A78E3E-7925-407F-92CD-B6F4E92D5CE9}"/>
  <tableColumns count="3">
    <tableColumn id="1" xr3:uid="{BAB2DA53-B90F-42AB-AA5D-7B6F12F332E5}" name="ORG METADATA" dataDxfId="150"/>
    <tableColumn id="2" xr3:uid="{09E0E553-D41B-4AF9-BBE9-8A61C2E860BD}" name="Description" dataDxfId="149"/>
    <tableColumn id="3" xr3:uid="{D9366569-B447-4198-AB3D-2BD4CFC662DF}" name="Characteristics" dataDxfId="148"/>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A64806-995F-427D-BD95-ED1B8657A84B}" name="Org.Table" displayName="Org.Table" comment="Table of organizations related to living heritage in Saskatchewan" ref="A1:AD2" insertRow="1" totalsRowShown="0" headerRowDxfId="147" dataDxfId="146">
  <autoFilter ref="A1:AD2" xr:uid="{3187DA54-3DEA-480F-B795-BA3C7B97A919}"/>
  <sortState xmlns:xlrd2="http://schemas.microsoft.com/office/spreadsheetml/2017/richdata2" ref="A2:AC2">
    <sortCondition ref="A1:A2"/>
  </sortState>
  <tableColumns count="30">
    <tableColumn id="1" xr3:uid="{3C0EA3AE-2303-441E-872F-084B0ABCF0F1}" name="Organization.Main" dataDxfId="145"/>
    <tableColumn id="27" xr3:uid="{6740563B-7550-4C63-922C-135EE748AB4E}" name="Organization.Sub" dataDxfId="144"/>
    <tableColumn id="2" xr3:uid="{750DBE63-8868-4660-8051-62C8509799FA}" name="Acronym" dataDxfId="143"/>
    <tableColumn id="3" xr3:uid="{A10C6AEF-9A83-49DE-843C-3D4044C8ADA8}" name="Website" dataDxfId="142"/>
    <tableColumn id="8" xr3:uid="{112DC00D-26C4-40FD-BEC6-BFBE0BBB7ACC}" name="Contact.Name.First" dataDxfId="141"/>
    <tableColumn id="42" xr3:uid="{DDF8FB56-DECA-4879-B785-E201307DB5EB}" name="Contact.Name.Last" dataDxfId="140"/>
    <tableColumn id="21" xr3:uid="{0AB91206-22BD-4CAD-8981-CC65577CB6FE}" name="Contact.Position" dataDxfId="139"/>
    <tableColumn id="9" xr3:uid="{ECA7337F-B0EF-4EF8-B0F4-C87A1A692E9A}" name="Contact.Email" dataDxfId="138"/>
    <tableColumn id="12" xr3:uid="{9813FBF3-9736-4A35-B140-FC57B220BDE9}" name="Contact.Phone" dataDxfId="137"/>
    <tableColumn id="29" xr3:uid="{CC57D4D9-BE2D-4686-B96B-8804B8AA039D}" name="Other.Email" dataDxfId="136" dataCellStyle="Hyperlink"/>
    <tableColumn id="31" xr3:uid="{7F1AE235-122D-46C7-8D84-83954F219D0F}" name="Other.Phone" dataDxfId="135" dataCellStyle="Hyperlink"/>
    <tableColumn id="18" xr3:uid="{8DD90DCF-6286-4983-9BEC-F7DE60CF90FA}" name="Address.1" dataDxfId="134" dataCellStyle="Hyperlink"/>
    <tableColumn id="28" xr3:uid="{65B0B3BD-9597-41EB-B5EB-1C3504E5785D}" name="Address.2" dataDxfId="133" dataCellStyle="Hyperlink"/>
    <tableColumn id="19" xr3:uid="{E4BAF1FF-0A32-41B6-A540-9D029B2949B1}" name="Address.City" dataDxfId="132" dataCellStyle="Hyperlink"/>
    <tableColumn id="20" xr3:uid="{9C95B41E-0257-4D5F-9CEE-D9438936F239}" name="Address.Prov" dataDxfId="131" dataCellStyle="Hyperlink"/>
    <tableColumn id="17" xr3:uid="{43D84611-B29D-4A18-A648-8BBF74F8B73D}" name="Address.Postal" dataDxfId="130" dataCellStyle="Hyperlink"/>
    <tableColumn id="6" xr3:uid="{A805FCB4-CF6C-4FF0-90E0-37793FC5D8DF}" name="About" dataDxfId="129"/>
    <tableColumn id="7" xr3:uid="{AA9ACB63-F14F-48D1-864A-3CAB46465721}" name="Notes" dataDxfId="128"/>
    <tableColumn id="25" xr3:uid="{7FCF334E-072C-4A1E-862F-0CBF21735245}" name="Data.Lists" dataDxfId="127"/>
    <tableColumn id="5" xr3:uid="{DFF428BF-EE6D-4503-8215-AFAE65212464}" name="Jurisdiction" dataDxfId="126"/>
    <tableColumn id="4" xr3:uid="{8E95FBD1-85CC-42CC-9967-7C83A0ED98DA}" name="Type.Main" dataDxfId="125"/>
    <tableColumn id="24" xr3:uid="{1A66C2FF-5A91-4036-85BE-CB825755DAA1}" name="Type.Sub" dataDxfId="124"/>
    <tableColumn id="13" xr3:uid="{A24AEC2C-4D39-4722-B6D6-B04E9640DC00}" name="Category.Main" dataDxfId="123"/>
    <tableColumn id="23" xr3:uid="{6674B9D6-ACCC-4C20-BC30-613FCC8F2794}" name="Category.Sub" dataDxfId="122"/>
    <tableColumn id="16" xr3:uid="{9DC2F0BC-2F73-40D7-B343-B9577479F29D}" name="Tangible.Heritage" dataDxfId="121"/>
    <tableColumn id="15" xr3:uid="{8DC409B8-7DE1-4026-AA8A-C5FA7F680C66}" name="Cultural.Property" dataDxfId="120"/>
    <tableColumn id="10" xr3:uid="{A5FC7414-D4EF-41C0-A05C-ABC10ED4D22A}" name="ICH.Domains" dataDxfId="119"/>
    <tableColumn id="11" xr3:uid="{A4585370-C0B3-4D9C-BA40-D51381FB9C7F}" name="ICH.Goals" dataDxfId="118"/>
    <tableColumn id="26" xr3:uid="{A68F3CD4-5264-421A-B888-E15A9CCB3B00}" name="Concat" dataDxfId="117"/>
    <tableColumn id="14" xr3:uid="{9001A2ED-31B8-4703-BAE2-A20566D5985C}" name="Check" dataDxfId="116"/>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9941A88-1504-4E72-90C3-08FECC0E918B}" name="Type.Main.Table" displayName="Type.Main.Table" comment="Dropdown subset for Org.Table[Type.Main] with descriptions" ref="A1:C8" totalsRowCount="1" headerRowDxfId="115" dataDxfId="114">
  <autoFilter ref="A1:C7" xr:uid="{5C80E552-0C82-497F-A3A7-87A96CE75613}"/>
  <sortState xmlns:xlrd2="http://schemas.microsoft.com/office/spreadsheetml/2017/richdata2" ref="A2:C7">
    <sortCondition ref="C1:C7"/>
  </sortState>
  <tableColumns count="3">
    <tableColumn id="1" xr3:uid="{76300441-B577-4BCB-B395-A70151B4880A}" name="Type.Main" totalsRowLabel="Total Orgs./SubOrgs." dataDxfId="113" totalsRowDxfId="112"/>
    <tableColumn id="2" xr3:uid="{48E5C314-50D1-41AB-9080-E95B560A2CA2}" name="Description" dataDxfId="111" totalsRowDxfId="110"/>
    <tableColumn id="3" xr3:uid="{9ED22623-24FF-41AA-9F50-88FC912DBB12}" name="Count" totalsRowFunction="sum" dataDxfId="109" totalsRowDxfId="108">
      <calculatedColumnFormula>COUNTIF(Org.Table[Type.Main],Type.Main.Table[[#This Row],[Type.Main]])</calculatedColumn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8996A7-A329-42E0-8350-14C6BDB78EF8}" name="Type.Indigenous.Table" displayName="Type.Indigenous.Table" comment="Dropdown subset for Org.Table[Type.Sub] when Org.Table[Type.Main] == Indigenous with descriptions" ref="E1:G7" totalsRowCount="1">
  <autoFilter ref="E1:G6" xr:uid="{E64E060C-76AB-44D0-A441-4A674A7F8FEB}"/>
  <sortState xmlns:xlrd2="http://schemas.microsoft.com/office/spreadsheetml/2017/richdata2" ref="E2:G6">
    <sortCondition ref="G1:G6"/>
  </sortState>
  <tableColumns count="3">
    <tableColumn id="1" xr3:uid="{B5A5CF70-C627-461F-8974-3B71FFDD3FA2}" name="Indigenous" totalsRowLabel="Total Tags" dataDxfId="107" totalsRowDxfId="106"/>
    <tableColumn id="2" xr3:uid="{F055ACE7-195A-4BDF-9D8B-DF5196CF5D65}" name="Description" dataDxfId="105"/>
    <tableColumn id="3" xr3:uid="{BE071A23-675B-4D5A-97CD-387357B3AA80}" name="Count" totalsRowFunction="sum" dataDxfId="104">
      <calculatedColumnFormula>COUNTIF(Org.Table[Type.Sub],"*"&amp;Type.Indigenous.Table[[#This Row],[Indigenous]]&amp;"*")</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6643FD1-D5AD-43B8-A093-5E04DCFA889A}" name="Type.NP.Table" displayName="Type.NP.Table" comment="Dropdown subset for Org.Table[Type.Sub] when Org.Table[Type.Main] == NP with descriptions" ref="I1:K14" totalsRowCount="1">
  <autoFilter ref="I1:K13" xr:uid="{1A703201-086C-414C-8F5B-48B5A8EEABC0}"/>
  <sortState xmlns:xlrd2="http://schemas.microsoft.com/office/spreadsheetml/2017/richdata2" ref="I2:K13">
    <sortCondition ref="K1:K13"/>
  </sortState>
  <tableColumns count="3">
    <tableColumn id="1" xr3:uid="{17D744BE-AB6C-4E0C-9726-4C7F449C37A6}" name="NP" totalsRowLabel="Total Tags" dataDxfId="103" totalsRowDxfId="102"/>
    <tableColumn id="2" xr3:uid="{5D152EF2-EBB3-4C4C-89B4-D518CE8B3638}" name="Description" dataDxfId="101"/>
    <tableColumn id="3" xr3:uid="{1D4D3843-D3BA-4A2E-A112-E84868EBFF8F}" name="Count" totalsRowFunction="sum" dataDxfId="100">
      <calculatedColumnFormula>COUNTIF(Org.Table[Type.Sub],"*"&amp;Type.NP.Table[[#This Row],[NP]]&amp;"*")</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240D0F6-2E67-46B7-AD01-B2BB3E7B477B}" name="Type.Private.Table" displayName="Type.Private.Table" comment="Dropdown subset for Org.Table[Type.Sub] when Org.Table[Type.Main] == Private with descriptions" ref="M1:O6" totalsRowCount="1">
  <autoFilter ref="M1:O5" xr:uid="{1930ED0C-8AD3-4278-A3A5-2EDDB3E3FA23}"/>
  <sortState xmlns:xlrd2="http://schemas.microsoft.com/office/spreadsheetml/2017/richdata2" ref="M2:O5">
    <sortCondition ref="O1:O5"/>
  </sortState>
  <tableColumns count="3">
    <tableColumn id="1" xr3:uid="{22034F18-04F3-48F7-9117-40F6DD90749D}" name="Private" totalsRowLabel="Total Tags" dataDxfId="99" totalsRowDxfId="98"/>
    <tableColumn id="2" xr3:uid="{D191A627-55B0-4E9D-ACD1-E4663505851E}" name="Description" dataDxfId="97"/>
    <tableColumn id="3" xr3:uid="{441CC58B-4CEB-42E1-B7B6-EAA273971181}" name="Count" totalsRowFunction="sum" dataDxfId="96">
      <calculatedColumnFormula>COUNTIF(Org.Table[Type.Sub],"*"&amp;Type.Private.Table[[#This Row],[Private]]&amp;"*")</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3A87FE-FBD1-46FF-8A77-8FC3A656C187}" name="Type.Public.Table" displayName="Type.Public.Table" comment="Dropdown subset for Org.Table[Type.Sub] when Org.Table[Type.Main] == Public with descriptions" ref="Q1:S10" totalsRowCount="1">
  <autoFilter ref="Q1:S9" xr:uid="{5AF27EEA-797D-4C77-B44B-645DF837CC98}"/>
  <sortState xmlns:xlrd2="http://schemas.microsoft.com/office/spreadsheetml/2017/richdata2" ref="Q2:S9">
    <sortCondition ref="S1:S9"/>
  </sortState>
  <tableColumns count="3">
    <tableColumn id="1" xr3:uid="{07394912-AAC4-4514-82AF-9489A0FC6ECD}" name="Public" totalsRowLabel="Total Tags" dataDxfId="95" totalsRowDxfId="94"/>
    <tableColumn id="2" xr3:uid="{8A1313C9-24B1-4446-8687-8A811E542109}" name="Description" dataDxfId="93"/>
    <tableColumn id="3" xr3:uid="{3468BC10-B0D7-46D9-BA7A-AE6CF859019B}" name="Count" totalsRowFunction="sum" dataDxfId="92">
      <calculatedColumnFormula>COUNTIF(Org.Table[Type.Sub],"*"&amp;Type.Public.Table[[#This Row],[Public]]&amp;"*")</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30ED018-E8E6-46F2-B638-E00C398B80B5}" name="Type.Academic.Table" displayName="Type.Academic.Table" comment="Dropdown subset for Org.Table[Type.Sub] when Org.Table[Type.Main] == Academic with descriptions" ref="U1:W19" totalsRowCount="1">
  <autoFilter ref="U1:W18" xr:uid="{ACC1DF76-1573-409A-A861-DFC3B5C4F587}"/>
  <sortState xmlns:xlrd2="http://schemas.microsoft.com/office/spreadsheetml/2017/richdata2" ref="U2:W18">
    <sortCondition ref="W1:W18"/>
  </sortState>
  <tableColumns count="3">
    <tableColumn id="1" xr3:uid="{81EE0D0B-B51A-44FA-929F-C5D7C2AAF17B}" name="Academic" totalsRowLabel="Total Tags" dataDxfId="91" totalsRowDxfId="90"/>
    <tableColumn id="2" xr3:uid="{F6C20290-5AEF-4780-A271-3E5CFAB23E2E}" name="Description" dataDxfId="89"/>
    <tableColumn id="3" xr3:uid="{4DA4DC5B-C642-44CB-A727-1EEE9FCC740B}" name="Count" totalsRowFunction="sum" dataDxfId="88">
      <calculatedColumnFormula>COUNTIF(Org.Table[Type.Sub],"*"&amp;Type.Academic.Table[[#This Row],[Academic]]&amp;"*")</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BAA85C-0EA1-41CF-BD58-EDFB7F587D07}" name="Type.Other.Table" displayName="Type.Other.Table" comment="Dropdown subset for Org.Table[Type.Sub] when Org.Table[Type.Main] == Other with descriptions" ref="Y1:AA4" totalsRowCount="1">
  <autoFilter ref="Y1:AA3" xr:uid="{AD68223B-224B-49B4-A19D-AAFC9345C903}"/>
  <sortState xmlns:xlrd2="http://schemas.microsoft.com/office/spreadsheetml/2017/richdata2" ref="Y2:AA3">
    <sortCondition ref="AA1:AA3"/>
  </sortState>
  <tableColumns count="3">
    <tableColumn id="1" xr3:uid="{ADACE150-C27F-44A5-ABAB-A78C386E7690}" name="Other" totalsRowLabel="Total Tags" dataDxfId="87" totalsRowDxfId="86"/>
    <tableColumn id="2" xr3:uid="{130C7DEB-FB1B-42DE-8240-BC1D56856E59}" name="Description" dataDxfId="85"/>
    <tableColumn id="3" xr3:uid="{B7817029-93A2-4A16-B621-63F09DF0325D}" name="Count" totalsRowFunction="sum">
      <calculatedColumnFormula>COUNTIF(Org.Table[Type.Sub],"*"&amp;Type.Other.Table[[#This Row],[Other]]&amp;"*")</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91F5E-B617-44AA-B0EB-EC9CEA59BD47}" name="Category.Main.Table" displayName="Category.Main.Table" comment="Dropdown subset for Org.Table[Category.Main] with descriptions" ref="A1:C6" totalsRowCount="1" headerRowDxfId="84" dataDxfId="83">
  <autoFilter ref="A1:C5" xr:uid="{7DB9338B-63A4-4809-9DD7-B0488DF9879D}"/>
  <sortState xmlns:xlrd2="http://schemas.microsoft.com/office/spreadsheetml/2017/richdata2" ref="A2:C5">
    <sortCondition ref="C1:C5"/>
  </sortState>
  <tableColumns count="3">
    <tableColumn id="1" xr3:uid="{43F27504-4691-4538-8CF9-FAA36CCC9D0A}" name="Category" totalsRowLabel="Total Orgs/Sub Orgs." dataDxfId="82" totalsRowDxfId="81"/>
    <tableColumn id="2" xr3:uid="{8D9DD36C-DE59-4A7C-A5D4-B94A9F4CDACD}" name="Description" dataDxfId="80" totalsRowDxfId="79"/>
    <tableColumn id="3" xr3:uid="{9FE3E6BF-E8C9-46DA-9BAC-B403481D3727}" name="Count" totalsRowFunction="sum" dataDxfId="78" totalsRowDxfId="77">
      <calculatedColumnFormula>COUNTIF(Org.Table[Category.Main],Category.Main.Table[[#This Row],[Category]])</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B79D4F2-9D14-4B1D-8372-1EAB77BF9B2B}" name="Category.Governing.Table" displayName="Category.Governing.Table" comment="Dropdown subset for Org.Table[Category.Sub] when Org.Table[Category.Main] == Governing with descriptions" ref="E1:G16" totalsRowCount="1">
  <autoFilter ref="E1:G15" xr:uid="{DD33349E-E72F-461F-9AC6-DBB34334D1F2}"/>
  <sortState xmlns:xlrd2="http://schemas.microsoft.com/office/spreadsheetml/2017/richdata2" ref="E2:G15">
    <sortCondition ref="G1:G15"/>
  </sortState>
  <tableColumns count="3">
    <tableColumn id="1" xr3:uid="{890D31C4-F14D-4440-BAD4-BF47B018588C}" name="Governing" totalsRowLabel="Total Tags" dataDxfId="76"/>
    <tableColumn id="2" xr3:uid="{82EF979E-3E80-4E5F-B49D-A5C3F72A65DE}" name="Description" dataDxfId="75" totalsRowDxfId="74"/>
    <tableColumn id="3" xr3:uid="{8699AD27-2BFE-4C8F-B853-C08257B3F4E7}" name="Count" totalsRowFunction="sum" dataDxfId="73" totalsRowDxfId="72">
      <calculatedColumnFormula>COUNTIF(Org.Table[Category.Sub],"*"&amp;Category.Governing.Table[[#This Row],[Governing]]&amp;"*")</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B4B14FD-3768-4969-8B9E-1291CCBD774A}" name="Category.Facilitating.Table" displayName="Category.Facilitating.Table" comment="Dropdown subset for Org.Table[Category.Sub] when Org.Table[Category.Main] == Facilitating with descriptions" ref="I1:K11" totalsRowCount="1">
  <autoFilter ref="I1:K10" xr:uid="{F428F862-06F9-47F8-AD50-32F8E0E8EA6C}"/>
  <sortState xmlns:xlrd2="http://schemas.microsoft.com/office/spreadsheetml/2017/richdata2" ref="I2:K10">
    <sortCondition ref="K1:K10"/>
  </sortState>
  <tableColumns count="3">
    <tableColumn id="1" xr3:uid="{7D8FAEED-507F-442E-887E-FB3A923B4FA7}" name="Facilitating" totalsRowLabel="Total Tags" dataDxfId="71"/>
    <tableColumn id="2" xr3:uid="{793FF160-407A-4B15-BD1E-58CB7D5EFEA8}" name="Description" dataDxfId="70" totalsRowDxfId="69"/>
    <tableColumn id="3" xr3:uid="{9CF2E54D-435B-4E47-89FF-7511BBC77D92}" name="Count" totalsRowFunction="sum" dataDxfId="68" totalsRowDxfId="67">
      <calculatedColumnFormula>COUNTIF(Org.Table[Category.Sub],"*"&amp;Category.Facilitating.Table[[#This Row],[Facilitating]]&amp;"*")</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ED46AE6-6362-46BA-BC37-F9D8FBC0D8CE}" name="Category.Conserving.Table" displayName="Category.Conserving.Table" comment="Dropdown subset for Org.Table[Category.Sub] when Org.Table[Category.Main] == Conserving with descriptions" ref="M1:O15" totalsRowCount="1">
  <autoFilter ref="M1:O14" xr:uid="{E448705D-159D-421C-A428-36D16094E155}"/>
  <sortState xmlns:xlrd2="http://schemas.microsoft.com/office/spreadsheetml/2017/richdata2" ref="M2:O14">
    <sortCondition ref="O1:O14"/>
  </sortState>
  <tableColumns count="3">
    <tableColumn id="1" xr3:uid="{080BB76B-C21D-485B-A6F1-4667F35040C8}" name="Conserving" totalsRowLabel="Total Tags" dataDxfId="66"/>
    <tableColumn id="2" xr3:uid="{C5571B2D-CBA1-48CC-B726-84CE60155E31}" name="Description" dataDxfId="65" totalsRowDxfId="64"/>
    <tableColumn id="3" xr3:uid="{9C20231F-E01B-4402-B2C9-FDF7AE63EB6D}" name="Count" totalsRowFunction="sum" dataDxfId="63" totalsRowDxfId="62">
      <calculatedColumnFormula>COUNTIF(Org.Table[Category.Sub],"*"&amp;Category.Conserving.Table[[#This Row],[Conserving]]&amp;"*")</calculatedColumnFormula>
    </tableColumn>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4FD2F86-E497-4A7C-A037-CCE4F0399428}" name="Category.Supporting.Table" displayName="Category.Supporting.Table" comment="Dropdown subset for Org.Table[Category.Sub] when Org.Table[Category.Main] == Supporting with descriptions" ref="Q1:S12" totalsRowCount="1">
  <autoFilter ref="Q1:S11" xr:uid="{03999AC7-35F3-461B-ADB0-83925650611C}"/>
  <sortState xmlns:xlrd2="http://schemas.microsoft.com/office/spreadsheetml/2017/richdata2" ref="Q2:S11">
    <sortCondition ref="S1:S11"/>
  </sortState>
  <tableColumns count="3">
    <tableColumn id="1" xr3:uid="{241D618C-19EF-45C8-8222-BBFB634787DD}" name="Supporting" totalsRowLabel="Total Tags" dataDxfId="61"/>
    <tableColumn id="2" xr3:uid="{5DAC9440-EF38-4F72-885C-BC73F7DF4A19}" name="Description" dataDxfId="60" totalsRowDxfId="59"/>
    <tableColumn id="3" xr3:uid="{94DF1C73-123D-4472-8B0C-0FA2E8D56ABD}" name="Count" totalsRowFunction="sum" dataDxfId="58">
      <calculatedColumnFormula>COUNTIF(Org.Table[Category.Sub],"*"&amp;Category.Supporting.Table[[#This Row],[Supporting]]&amp;"*")</calculatedColumnFormula>
    </tableColumn>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A45BF76-51D1-44BC-9A42-7D33BFECFA2D}" name="Jurisdiction.Table" displayName="Jurisdiction.Table" comment="Dropdown subset for Org.Table[Jurisdiction] with descriptions" ref="A1:C6" totalsRowCount="1" headerRowDxfId="57" dataDxfId="56">
  <autoFilter ref="A1:C5" xr:uid="{5D7042B2-8750-45F9-AB52-9D2871D165DC}"/>
  <sortState xmlns:xlrd2="http://schemas.microsoft.com/office/spreadsheetml/2017/richdata2" ref="A2:C5">
    <sortCondition ref="C1:C5"/>
  </sortState>
  <tableColumns count="3">
    <tableColumn id="1" xr3:uid="{34C92A33-40F3-4037-8827-246915BE38D3}" name="Jurisdiction" totalsRowLabel="Total Orgs./Sub Orgs." dataDxfId="55" totalsRowDxfId="54"/>
    <tableColumn id="2" xr3:uid="{E2D267EB-39F1-4056-BB90-71B453B5480B}" name="Description" dataDxfId="53" totalsRowDxfId="52"/>
    <tableColumn id="3" xr3:uid="{F1B144FD-06AD-4E9E-B242-87C72558DA7E}" name="Count" totalsRowFunction="sum" dataDxfId="51" totalsRowDxfId="50">
      <calculatedColumnFormula>COUNTIF(Org.Table[Jurisdiction],Jurisdiction.Table[[#This Row],[Jurisdiction]])</calculatedColumnFormula>
    </tableColumn>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950205-3A8A-40F8-B620-817FE26C73A2}" name="Cultural.Property.Table" displayName="Cultural.Property.Table" comment="Dropdown subset for Org.Table[Cultural.Property] with descriptions" ref="I1:L13" totalsRowCount="1" headerRowDxfId="49" dataDxfId="48">
  <autoFilter ref="I1:L12" xr:uid="{BCF1935F-DD75-41F7-B540-4C0EABE62FA1}"/>
  <sortState xmlns:xlrd2="http://schemas.microsoft.com/office/spreadsheetml/2017/richdata2" ref="I2:L12">
    <sortCondition ref="L1:L12"/>
  </sortState>
  <tableColumns count="4">
    <tableColumn id="3" xr3:uid="{64449107-A311-41CF-910F-5270E420E474}" name="Cultural.Property" totalsRowLabel="Total Tags" dataDxfId="47" totalsRowDxfId="46"/>
    <tableColumn id="2" xr3:uid="{19243960-5A06-4EBA-85BC-28C5B4D5D439}" name="Description" dataDxfId="45" totalsRowDxfId="44"/>
    <tableColumn id="4" xr3:uid="{CD901437-31EA-4A64-9434-4DD1464D2D4D}" name="Class" dataDxfId="43" totalsRowDxfId="42"/>
    <tableColumn id="1" xr3:uid="{DCE89C29-1844-4E66-B1C6-81A45C93C289}" name="Count" totalsRowFunction="sum" dataDxfId="41" totalsRowDxfId="40">
      <calculatedColumnFormula>COUNTIF(Org.Table[Cultural.Property],"*"&amp;Cultural.Property.Table[[#This Row],[Cultural.Property]]&amp;"*")</calculatedColumnFormula>
    </tableColumn>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5C848C5-E693-46E4-BF90-990EE4145CBB}" name="Tangible.Heritage.Table" displayName="Tangible.Heritage.Table" comment="Dropdown subset for Org.Table[Tangible.Heritage] with descriptions" ref="E1:G18" totalsRowCount="1" headerRowDxfId="39" dataDxfId="38">
  <autoFilter ref="E1:G17" xr:uid="{986BEF83-1D0A-4618-96D6-CEC427AA150F}"/>
  <sortState xmlns:xlrd2="http://schemas.microsoft.com/office/spreadsheetml/2017/richdata2" ref="E2:G17">
    <sortCondition ref="G1:G17"/>
  </sortState>
  <tableColumns count="3">
    <tableColumn id="1" xr3:uid="{3DAC8F8A-8D45-48F9-8178-3DF6872F3FFC}" name="Tangible.Heritage" totalsRowLabel="Total Tags" dataDxfId="37" totalsRowDxfId="36"/>
    <tableColumn id="2" xr3:uid="{B6F07922-1174-497E-9377-95D9D21F051E}" name="Description" dataDxfId="35" totalsRowDxfId="34"/>
    <tableColumn id="3" xr3:uid="{A8DA15B3-1704-465E-877C-0A161B4EE1FE}" name="Count" totalsRowFunction="sum" dataDxfId="33">
      <calculatedColumnFormula>COUNTIF(Org.Table[Tangible.Heritage],"*"&amp;Tangible.Heritage.Table[[#This Row],[Tangible.Heritage]]&amp;"*")</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DFAC46-457C-496E-9B69-46606ED56B60}" name="ICH.Goal.Table" displayName="ICH.Goal.Table" comment="Dropdown subset for Org.Table[ICH.Goal with descriptions" ref="N1:P7" totalsRowCount="1" headerRowDxfId="32" dataDxfId="31">
  <autoFilter ref="N1:P6" xr:uid="{85D5D5F3-D4EC-41CF-847E-FFF785995D70}"/>
  <sortState xmlns:xlrd2="http://schemas.microsoft.com/office/spreadsheetml/2017/richdata2" ref="N2:P6">
    <sortCondition ref="P1:P6"/>
  </sortState>
  <tableColumns count="3">
    <tableColumn id="1" xr3:uid="{D80ACE63-5CC7-4B6C-A727-54199E44E229}" name="ICH.Goal" totalsRowLabel="Total Tags" dataDxfId="30" totalsRowDxfId="29"/>
    <tableColumn id="2" xr3:uid="{1EF018AB-C69A-447F-A170-370EDD86AA56}" name="Description" dataDxfId="28" totalsRowDxfId="27"/>
    <tableColumn id="3" xr3:uid="{5C8479B9-10A2-4328-AF71-C5952771199F}" name="Count" totalsRowFunction="sum" dataDxfId="26">
      <calculatedColumnFormula>COUNTIF(Org.Table[ICH.Goals],"*"&amp;ICH.Goal.Table[[#This Row],[ICH.Goal]]&amp;"*")</calculatedColumnFormula>
    </tableColumn>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25520C-AA91-40A4-835F-02A060A4171B}" name="ICH.Domain.Table" displayName="ICH.Domain.Table" comment="Dropdown subset for Org.Table[ICH.Domain] with descriptions" ref="R1:T8" totalsRowCount="1" headerRowDxfId="25" dataDxfId="24">
  <autoFilter ref="R1:T7" xr:uid="{203724D3-88AF-456C-8F7C-A321875BC3CD}"/>
  <sortState xmlns:xlrd2="http://schemas.microsoft.com/office/spreadsheetml/2017/richdata2" ref="R2:T7">
    <sortCondition ref="T1:T7"/>
  </sortState>
  <tableColumns count="3">
    <tableColumn id="1" xr3:uid="{2EC63E63-26B2-4EF1-8F21-8E2493D83274}" name="ICH.Domain" totalsRowLabel="Total Tags" dataDxfId="23" totalsRowDxfId="22"/>
    <tableColumn id="2" xr3:uid="{93941EB4-61D4-4BB1-BF43-862F218B2FB5}" name="Description" dataDxfId="21" totalsRowDxfId="20"/>
    <tableColumn id="3" xr3:uid="{C0717752-4EC2-47E3-806B-3CD2E19626D8}" name="Count" totalsRowFunction="sum" dataDxfId="19">
      <calculatedColumnFormula>COUNTIF(Org.Table[ICH.Domains],"*"&amp;ICH.Domain.Table[[#This Row],[ICH.Domain]]&amp;"*")</calculatedColumnFormula>
    </tableColumn>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B33A02-C641-499B-AE1A-B56EB34ABF33}" name="Analysis.Table" displayName="Analysis.Table" ref="A1:D26" totalsRowCount="1">
  <autoFilter ref="A1:D25" xr:uid="{CC499F40-D8FF-4FC5-8BF5-FF99DB53520A}"/>
  <tableColumns count="4">
    <tableColumn id="1" xr3:uid="{710D467C-C65A-4CB1-B2F5-F2C50D0EAD7F}" name="Category" totalsRowLabel="Total"/>
    <tableColumn id="2" xr3:uid="{D8F11B52-FCCF-40F9-A8CF-66C570A967FD}" name="Type"/>
    <tableColumn id="3" xr3:uid="{1CBBC8D6-5413-42A6-ABFF-EBF12AF546BB}" name="Primary Orgs" totalsRowFunction="sum"/>
    <tableColumn id="4" xr3:uid="{41A309E6-FB33-4497-9282-EE0D0625E3AE}" name="Total Orgs" totalsRowFunction="sum"/>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6FD0F9D-BB86-4676-9579-CA775F49CAED}" name="Analysis.Table1516" displayName="Analysis.Table1516" ref="O1:R26" totalsRowCount="1">
  <autoFilter ref="O1:R25" xr:uid="{7977A8CA-F0D4-429E-8F24-05DC19659A3C}"/>
  <sortState xmlns:xlrd2="http://schemas.microsoft.com/office/spreadsheetml/2017/richdata2" ref="O2:R25">
    <sortCondition ref="O1:O25"/>
  </sortState>
  <tableColumns count="4">
    <tableColumn id="2" xr3:uid="{46A69366-3F0E-4D94-BE53-6D738BE6D83D}" name="Type" totalsRowLabel="Total"/>
    <tableColumn id="1" xr3:uid="{BF54392B-65F6-45AF-9257-7A27C2F38C0A}" name="Category"/>
    <tableColumn id="3" xr3:uid="{E33AB8C6-6E61-47AC-B0D8-9771E987B640}" name="Primary Orgs" totalsRowFunction="sum"/>
    <tableColumn id="4" xr3:uid="{675F37EE-FF59-4C5C-9BCC-CA5B676F5424}" name="Total Orgs" totalsRowFunction="sum"/>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72E466-C490-426C-9435-064433F5A2F9}" name="Source.Table" displayName="Source.Table" comment="Table of sources for data lists with descriptions. Details each list in the workbook and provides links to the document or source it came from. " ref="A5:C9" totalsRowShown="0" headerRowDxfId="18" dataDxfId="17">
  <autoFilter ref="A5:C9" xr:uid="{069B7C4A-3941-41CB-A4D8-57B65139EF73}"/>
  <tableColumns count="3">
    <tableColumn id="2" xr3:uid="{4E39E38A-DB6A-4B22-A1AC-2226916750EF}" name="Data" dataDxfId="16" dataCellStyle="Hyperlink"/>
    <tableColumn id="4" xr3:uid="{B144E3C2-BAE1-4A87-A0DE-0C660094D91A}" name="Source" dataDxfId="15" dataCellStyle="Hyperlink"/>
    <tableColumn id="3" xr3:uid="{01BE5D07-002E-4A96-94B5-A30BEED462F5}" name="Description" dataDxfId="14"/>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C0DD678-C87A-4FB1-9D72-D3FB83022A84}" name="Data.Lists.Table" displayName="Data.Lists.Table" comment="Dropdown subset for Org.Table[Data.Lists] with descriptions" ref="A1:E3" insertRow="1" totalsRowCount="1" headerRowDxfId="13" dataDxfId="12">
  <autoFilter ref="A1:E2" xr:uid="{ABB7C89E-F1FD-4029-9604-D9427C8FB8C8}"/>
  <sortState xmlns:xlrd2="http://schemas.microsoft.com/office/spreadsheetml/2017/richdata2" ref="A2:E2">
    <sortCondition ref="E1:E2"/>
  </sortState>
  <tableColumns count="5">
    <tableColumn id="1" xr3:uid="{B13CAF75-7ABC-4170-AA75-1EC78B70329E}" name="Data.Lists" totalsRowLabel="Total Tags" dataDxfId="11" totalsRowDxfId="6"/>
    <tableColumn id="6" xr3:uid="{ADB7BF97-75DB-49EE-82E3-08A8CDAC55C2}" name="Name" dataDxfId="10" totalsRowDxfId="5"/>
    <tableColumn id="3" xr3:uid="{D5369581-CFD7-4287-A185-23CE2BDAEA1C}" name="Description" dataDxfId="9" totalsRowDxfId="4"/>
    <tableColumn id="7" xr3:uid="{74D7582F-4C1D-429D-A97F-FCAFBD098F9A}" name="Date" dataDxfId="8" totalsRowDxfId="3"/>
    <tableColumn id="5" xr3:uid="{D54559B8-E82A-4B42-AD6D-1126A0AA8949}" name="Count" totalsRowFunction="sum" dataDxfId="7" totalsRowDxfId="2">
      <calculatedColumnFormula>COUNTIF(Org.Table[Data.Lists],"*"&amp;Data.Lists.Table[[#This Row],[Data.Lists]]&amp;"*")</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drawing" Target="../drawings/drawing3.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hyperlink" Target="https://www.historicplaces.ca/media/5689/built_heritage_en.pdf" TargetMode="Externa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01DE5-B117-445C-9EEB-196094DFB0BD}">
  <sheetPr codeName="Sheet1"/>
  <dimension ref="A1:C41"/>
  <sheetViews>
    <sheetView tabSelected="1" zoomScale="70" zoomScaleNormal="70" workbookViewId="0"/>
  </sheetViews>
  <sheetFormatPr defaultColWidth="0" defaultRowHeight="14.4" zeroHeight="1" x14ac:dyDescent="0.3"/>
  <cols>
    <col min="1" max="1" width="17.5546875" style="1" customWidth="1"/>
    <col min="2" max="2" width="46" style="43" customWidth="1"/>
    <col min="3" max="3" width="40.33203125" style="43" customWidth="1"/>
    <col min="4" max="16384" width="33.77734375" style="1" hidden="1"/>
  </cols>
  <sheetData>
    <row r="1" spans="1:3" x14ac:dyDescent="0.3">
      <c r="A1" s="1" t="s">
        <v>0</v>
      </c>
      <c r="B1" s="43" t="s">
        <v>1</v>
      </c>
      <c r="C1" s="43" t="s">
        <v>319</v>
      </c>
    </row>
    <row r="2" spans="1:3" ht="43.2" x14ac:dyDescent="0.3">
      <c r="A2" s="5" t="s">
        <v>322</v>
      </c>
      <c r="B2" s="16" t="s">
        <v>323</v>
      </c>
      <c r="C2" s="16"/>
    </row>
    <row r="3" spans="1:3" ht="72" x14ac:dyDescent="0.3">
      <c r="A3" s="5" t="s">
        <v>2</v>
      </c>
      <c r="B3" s="16" t="s">
        <v>3</v>
      </c>
      <c r="C3" s="16" t="s">
        <v>332</v>
      </c>
    </row>
    <row r="4" spans="1:3" ht="28.8" x14ac:dyDescent="0.3">
      <c r="A4" s="5" t="s">
        <v>5</v>
      </c>
      <c r="B4" s="16" t="s">
        <v>374</v>
      </c>
      <c r="C4" s="16" t="s">
        <v>395</v>
      </c>
    </row>
    <row r="5" spans="1:3" ht="28.8" x14ac:dyDescent="0.3">
      <c r="A5" s="5" t="s">
        <v>6</v>
      </c>
      <c r="B5" s="16" t="s">
        <v>7</v>
      </c>
      <c r="C5" s="16" t="s">
        <v>395</v>
      </c>
    </row>
    <row r="6" spans="1:3" ht="28.8" x14ac:dyDescent="0.3">
      <c r="A6" s="5" t="s">
        <v>4</v>
      </c>
      <c r="B6" s="16" t="s">
        <v>373</v>
      </c>
      <c r="C6" s="16" t="s">
        <v>395</v>
      </c>
    </row>
    <row r="7" spans="1:3" ht="28.8" x14ac:dyDescent="0.3">
      <c r="A7" s="5" t="s">
        <v>324</v>
      </c>
      <c r="B7" s="16" t="s">
        <v>8</v>
      </c>
      <c r="C7" s="16" t="s">
        <v>395</v>
      </c>
    </row>
    <row r="8" spans="1:3" ht="28.8" x14ac:dyDescent="0.3">
      <c r="A8" s="5" t="s">
        <v>392</v>
      </c>
      <c r="B8" s="16" t="s">
        <v>393</v>
      </c>
      <c r="C8" s="16" t="s">
        <v>394</v>
      </c>
    </row>
    <row r="9" spans="1:3" ht="57.6" x14ac:dyDescent="0.3">
      <c r="A9" s="46" t="s">
        <v>27</v>
      </c>
      <c r="B9" s="16" t="s">
        <v>356</v>
      </c>
      <c r="C9" s="16" t="s">
        <v>375</v>
      </c>
    </row>
    <row r="10" spans="1:3" x14ac:dyDescent="0.3"/>
    <row r="11" spans="1:3" x14ac:dyDescent="0.3">
      <c r="A11" s="1" t="s">
        <v>318</v>
      </c>
      <c r="B11" s="43" t="s">
        <v>1</v>
      </c>
      <c r="C11" s="43" t="s">
        <v>319</v>
      </c>
    </row>
    <row r="12" spans="1:3" ht="72" x14ac:dyDescent="0.3">
      <c r="A12" s="44" t="s">
        <v>10</v>
      </c>
      <c r="B12" s="16" t="s">
        <v>320</v>
      </c>
      <c r="C12" s="16" t="s">
        <v>398</v>
      </c>
    </row>
    <row r="13" spans="1:3" ht="43.2" x14ac:dyDescent="0.3">
      <c r="A13" s="44" t="s">
        <v>11</v>
      </c>
      <c r="B13" s="16" t="s">
        <v>396</v>
      </c>
      <c r="C13" s="16" t="s">
        <v>321</v>
      </c>
    </row>
    <row r="14" spans="1:3" ht="28.8" x14ac:dyDescent="0.3">
      <c r="A14" s="45" t="s">
        <v>12</v>
      </c>
      <c r="B14" s="16" t="s">
        <v>325</v>
      </c>
      <c r="C14" s="16"/>
    </row>
    <row r="15" spans="1:3" ht="43.2" x14ac:dyDescent="0.3">
      <c r="A15" s="44" t="s">
        <v>13</v>
      </c>
      <c r="B15" s="16" t="s">
        <v>326</v>
      </c>
      <c r="C15" s="16" t="s">
        <v>342</v>
      </c>
    </row>
    <row r="16" spans="1:3" ht="28.8" x14ac:dyDescent="0.3">
      <c r="A16" s="44" t="s">
        <v>16</v>
      </c>
      <c r="B16" s="16" t="s">
        <v>336</v>
      </c>
      <c r="C16" s="16" t="s">
        <v>338</v>
      </c>
    </row>
    <row r="17" spans="1:3" x14ac:dyDescent="0.3">
      <c r="A17" s="44" t="s">
        <v>17</v>
      </c>
      <c r="B17" s="16" t="s">
        <v>337</v>
      </c>
      <c r="C17" s="16"/>
    </row>
    <row r="18" spans="1:3" x14ac:dyDescent="0.3">
      <c r="A18" s="44" t="s">
        <v>18</v>
      </c>
      <c r="B18" s="16" t="s">
        <v>339</v>
      </c>
      <c r="C18" s="16"/>
    </row>
    <row r="19" spans="1:3" x14ac:dyDescent="0.3">
      <c r="A19" s="44" t="s">
        <v>19</v>
      </c>
      <c r="B19" s="16" t="s">
        <v>340</v>
      </c>
      <c r="C19" s="16" t="s">
        <v>342</v>
      </c>
    </row>
    <row r="20" spans="1:3" ht="43.2" x14ac:dyDescent="0.3">
      <c r="A20" s="44" t="s">
        <v>20</v>
      </c>
      <c r="B20" s="16" t="s">
        <v>341</v>
      </c>
      <c r="C20" s="16" t="s">
        <v>335</v>
      </c>
    </row>
    <row r="21" spans="1:3" x14ac:dyDescent="0.3">
      <c r="A21" s="44" t="s">
        <v>14</v>
      </c>
      <c r="B21" s="16" t="s">
        <v>333</v>
      </c>
      <c r="C21" s="16" t="s">
        <v>342</v>
      </c>
    </row>
    <row r="22" spans="1:3" ht="43.2" x14ac:dyDescent="0.3">
      <c r="A22" s="44" t="s">
        <v>15</v>
      </c>
      <c r="B22" s="16" t="s">
        <v>334</v>
      </c>
      <c r="C22" s="16" t="s">
        <v>335</v>
      </c>
    </row>
    <row r="23" spans="1:3" x14ac:dyDescent="0.3">
      <c r="A23" s="44" t="s">
        <v>21</v>
      </c>
      <c r="B23" s="16" t="s">
        <v>343</v>
      </c>
      <c r="C23" s="16" t="s">
        <v>344</v>
      </c>
    </row>
    <row r="24" spans="1:3" x14ac:dyDescent="0.3">
      <c r="A24" s="44" t="s">
        <v>22</v>
      </c>
      <c r="B24" s="16" t="s">
        <v>345</v>
      </c>
      <c r="C24" s="16" t="s">
        <v>346</v>
      </c>
    </row>
    <row r="25" spans="1:3" x14ac:dyDescent="0.3">
      <c r="A25" s="44" t="s">
        <v>23</v>
      </c>
      <c r="B25" s="16" t="s">
        <v>347</v>
      </c>
      <c r="C25" s="16"/>
    </row>
    <row r="26" spans="1:3" x14ac:dyDescent="0.3">
      <c r="A26" s="44" t="s">
        <v>24</v>
      </c>
      <c r="B26" s="16" t="s">
        <v>348</v>
      </c>
      <c r="C26" s="16"/>
    </row>
    <row r="27" spans="1:3" ht="28.8" x14ac:dyDescent="0.3">
      <c r="A27" s="44" t="s">
        <v>25</v>
      </c>
      <c r="B27" s="16" t="s">
        <v>349</v>
      </c>
      <c r="C27" s="16" t="s">
        <v>350</v>
      </c>
    </row>
    <row r="28" spans="1:3" ht="43.2" x14ac:dyDescent="0.3">
      <c r="A28" s="44" t="s">
        <v>26</v>
      </c>
      <c r="B28" s="16" t="s">
        <v>351</v>
      </c>
      <c r="C28" s="16" t="s">
        <v>331</v>
      </c>
    </row>
    <row r="29" spans="1:3" ht="57.6" x14ac:dyDescent="0.3">
      <c r="A29" s="44" t="s">
        <v>27</v>
      </c>
      <c r="B29" s="16" t="s">
        <v>352</v>
      </c>
      <c r="C29" s="16" t="s">
        <v>353</v>
      </c>
    </row>
    <row r="30" spans="1:3" ht="43.2" x14ac:dyDescent="0.3">
      <c r="A30" s="44" t="s">
        <v>28</v>
      </c>
      <c r="B30" s="16" t="s">
        <v>354</v>
      </c>
      <c r="C30" s="16" t="s">
        <v>359</v>
      </c>
    </row>
    <row r="31" spans="1:3" ht="28.8" x14ac:dyDescent="0.3">
      <c r="A31" s="44" t="s">
        <v>29</v>
      </c>
      <c r="B31" s="16" t="s">
        <v>355</v>
      </c>
      <c r="C31" s="16" t="s">
        <v>327</v>
      </c>
    </row>
    <row r="32" spans="1:3" ht="28.8" x14ac:dyDescent="0.3">
      <c r="A32" s="44" t="s">
        <v>30</v>
      </c>
      <c r="B32" s="16" t="s">
        <v>357</v>
      </c>
      <c r="C32" s="16" t="s">
        <v>358</v>
      </c>
    </row>
    <row r="33" spans="1:3" ht="43.2" x14ac:dyDescent="0.3">
      <c r="A33" s="44" t="s">
        <v>31</v>
      </c>
      <c r="B33" s="16" t="s">
        <v>361</v>
      </c>
      <c r="C33" s="16" t="s">
        <v>328</v>
      </c>
    </row>
    <row r="34" spans="1:3" ht="86.4" x14ac:dyDescent="0.3">
      <c r="A34" s="44" t="s">
        <v>32</v>
      </c>
      <c r="B34" s="16" t="s">
        <v>363</v>
      </c>
      <c r="C34" s="16" t="s">
        <v>364</v>
      </c>
    </row>
    <row r="35" spans="1:3" ht="43.2" x14ac:dyDescent="0.3">
      <c r="A35" s="44" t="s">
        <v>33</v>
      </c>
      <c r="B35" s="16" t="s">
        <v>362</v>
      </c>
      <c r="C35" s="16" t="s">
        <v>329</v>
      </c>
    </row>
    <row r="36" spans="1:3" ht="43.2" x14ac:dyDescent="0.3">
      <c r="A36" s="44" t="s">
        <v>34</v>
      </c>
      <c r="B36" s="16" t="s">
        <v>365</v>
      </c>
      <c r="C36" s="16" t="s">
        <v>366</v>
      </c>
    </row>
    <row r="37" spans="1:3" ht="86.4" x14ac:dyDescent="0.3">
      <c r="A37" s="44" t="s">
        <v>35</v>
      </c>
      <c r="B37" s="16" t="s">
        <v>367</v>
      </c>
      <c r="C37" s="16" t="s">
        <v>368</v>
      </c>
    </row>
    <row r="38" spans="1:3" ht="43.2" x14ac:dyDescent="0.3">
      <c r="A38" s="44" t="s">
        <v>36</v>
      </c>
      <c r="B38" s="16" t="s">
        <v>371</v>
      </c>
      <c r="C38" s="16" t="s">
        <v>369</v>
      </c>
    </row>
    <row r="39" spans="1:3" ht="43.2" x14ac:dyDescent="0.3">
      <c r="A39" s="44" t="s">
        <v>37</v>
      </c>
      <c r="B39" s="16" t="s">
        <v>372</v>
      </c>
      <c r="C39" s="16" t="s">
        <v>370</v>
      </c>
    </row>
    <row r="40" spans="1:3" ht="28.8" x14ac:dyDescent="0.3">
      <c r="A40" s="44" t="s">
        <v>239</v>
      </c>
      <c r="B40" s="16" t="s">
        <v>360</v>
      </c>
      <c r="C40" s="16" t="s">
        <v>380</v>
      </c>
    </row>
    <row r="41" spans="1:3" ht="43.2" x14ac:dyDescent="0.3">
      <c r="A41" s="49" t="s">
        <v>381</v>
      </c>
      <c r="B41" s="16" t="s">
        <v>384</v>
      </c>
      <c r="C41" s="16" t="s">
        <v>385</v>
      </c>
    </row>
  </sheetData>
  <conditionalFormatting sqref="A12">
    <cfRule type="duplicateValues" dxfId="1" priority="1"/>
  </conditionalFormatting>
  <dataValidations count="14">
    <dataValidation allowBlank="1" showInputMessage="1" showErrorMessage="1" prompt="Organization name - separates management from location specifically" sqref="A12" xr:uid="{42B62145-2877-4E82-991F-3DF5F153EEF0}"/>
    <dataValidation allowBlank="1" showInputMessage="1" showErrorMessage="1" prompt="Organization Sub name - generally the location itself" sqref="A13" xr:uid="{1D2A2F4C-33BA-4789-8947-CBB10F4E4502}"/>
    <dataValidation allowBlank="1" showInputMessage="1" showErrorMessage="1" prompt="Name acronym" sqref="A14" xr:uid="{E359869C-2FE3-4C60-AD17-5FEB13EAEEBF}"/>
    <dataValidation allowBlank="1" showInputMessage="1" showErrorMessage="1" promptTitle="MultiDropDown" prompt="Data lists- details lists where entry is present and some information was retained here." sqref="A30" xr:uid="{5966A5E8-C728-4576-B23F-DEDD15FF6F9C}"/>
    <dataValidation allowBlank="1" showInputMessage="1" showErrorMessage="1" promptTitle="SingleDropDown" prompt="Operation scope" sqref="A31" xr:uid="{D6A5B875-0AF1-417C-9DD8-E454630868B6}"/>
    <dataValidation allowBlank="1" showInputMessage="1" showErrorMessage="1" promptTitle="SingleDropDown" prompt="Organization type" sqref="A32" xr:uid="{C5A39C4A-58EA-4FC0-93E1-C95820D951CE}"/>
    <dataValidation allowBlank="1" showInputMessage="1" showErrorMessage="1" promptTitle="MultiDropDown" prompt="Organization Subtype. Drop down populates based on Type.Main" sqref="A33" xr:uid="{6038FA11-BF01-4412-95D8-AC5EEFF55BE6}"/>
    <dataValidation allowBlank="1" showInputMessage="1" showErrorMessage="1" promptTitle="SingleDropDown" prompt="Main organization category " sqref="A34" xr:uid="{E7C29405-A7E6-4838-BF56-3C972DA8A660}"/>
    <dataValidation allowBlank="1" showInputMessage="1" showErrorMessage="1" promptTitle="MultiDropDown" prompt="Organization subcategory. Autopopulates from Category.Main" sqref="A35" xr:uid="{D509A783-05DB-47F9-BC9A-CD31B88B50AC}"/>
    <dataValidation allowBlank="1" showInputMessage="1" showErrorMessage="1" prompt="Notes on entry, includes information from TS and MAS lists. " sqref="A29" xr:uid="{A0E62E38-6190-4E85-BA34-E7EDDFB80B54}"/>
    <dataValidation allowBlank="1" showInputMessage="1" showErrorMessage="1" prompt="Text copied from 'About Org' on websites " sqref="A28" xr:uid="{E03F7824-16D7-4E55-B413-399B5B1FA728}"/>
    <dataValidation allowBlank="1" showInputMessage="1" showErrorMessage="1" promptTitle="MultiDropDown" prompt="Types of cultural property maintained/owned by entry. " sqref="A37" xr:uid="{4EF34000-C7BA-4D7D-B2A9-53196A8EBC6B}"/>
    <dataValidation allowBlank="1" showInputMessage="1" showErrorMessage="1" promptTitle="MultiDropDowns" prompt="ICH domains under which work of entry falls. Not filled for governing or facilitating organizations." sqref="A38" xr:uid="{49F866E4-48C4-4F66-A2F5-532A4855696E}"/>
    <dataValidation allowBlank="1" showInputMessage="1" showErrorMessage="1" promptTitle="MultiDropDown" prompt="ICH Goals into which entry work falls" sqref="A39" xr:uid="{889F9DBB-7E47-42BF-AE35-D45B9D121FFD}"/>
  </dataValidations>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1EC60-0B8A-4218-A163-D2FA009BC22A}">
  <sheetPr codeName="Sheet2"/>
  <dimension ref="A1:AD2"/>
  <sheetViews>
    <sheetView zoomScale="70" zoomScaleNormal="70" workbookViewId="0">
      <selection activeCell="A2" sqref="A2:AD2"/>
    </sheetView>
  </sheetViews>
  <sheetFormatPr defaultColWidth="8.88671875" defaultRowHeight="14.4" x14ac:dyDescent="0.3"/>
  <cols>
    <col min="1" max="1" width="24.5546875" style="25" customWidth="1"/>
    <col min="2" max="2" width="26.33203125" style="25" customWidth="1"/>
    <col min="3" max="3" width="8.88671875" style="28" customWidth="1"/>
    <col min="4" max="4" width="27.109375" style="29" customWidth="1"/>
    <col min="5" max="6" width="12.88671875" customWidth="1"/>
    <col min="7" max="8" width="12.88671875" style="25" customWidth="1"/>
    <col min="9" max="9" width="16.77734375" style="25" customWidth="1"/>
    <col min="10" max="10" width="12.88671875" style="25" customWidth="1"/>
    <col min="11" max="11" width="15.5546875" style="25" customWidth="1"/>
    <col min="12" max="12" width="12.88671875" style="29" customWidth="1"/>
    <col min="13" max="14" width="12.88671875" style="25" customWidth="1"/>
    <col min="15" max="15" width="5.21875" style="25" customWidth="1"/>
    <col min="16" max="18" width="11.88671875" style="25" customWidth="1"/>
    <col min="19" max="19" width="11.88671875" style="30" customWidth="1"/>
    <col min="20" max="21" width="11.88671875" style="25" customWidth="1"/>
    <col min="22" max="22" width="11.88671875" style="38" customWidth="1"/>
    <col min="23" max="23" width="11.88671875" style="30" customWidth="1"/>
    <col min="24" max="24" width="11.88671875" style="38" customWidth="1"/>
    <col min="25" max="25" width="13.109375" style="25" customWidth="1"/>
    <col min="26" max="28" width="11.88671875" style="25" customWidth="1"/>
    <col min="29" max="29" width="14.33203125" style="25" customWidth="1"/>
    <col min="30" max="30" width="8.88671875" style="31" customWidth="1"/>
    <col min="31" max="16384" width="8.88671875" style="25"/>
  </cols>
  <sheetData>
    <row r="1" spans="1:30" s="24" customFormat="1" x14ac:dyDescent="0.3">
      <c r="A1" s="22" t="s">
        <v>10</v>
      </c>
      <c r="B1" s="22" t="s">
        <v>11</v>
      </c>
      <c r="C1" s="27" t="s">
        <v>12</v>
      </c>
      <c r="D1" s="22" t="s">
        <v>13</v>
      </c>
      <c r="E1" s="22" t="s">
        <v>16</v>
      </c>
      <c r="F1" s="22" t="s">
        <v>17</v>
      </c>
      <c r="G1" s="22" t="s">
        <v>18</v>
      </c>
      <c r="H1" s="22" t="s">
        <v>19</v>
      </c>
      <c r="I1" s="48" t="s">
        <v>20</v>
      </c>
      <c r="J1" s="22" t="s">
        <v>14</v>
      </c>
      <c r="K1" s="23" t="s">
        <v>15</v>
      </c>
      <c r="L1" s="23" t="s">
        <v>21</v>
      </c>
      <c r="M1" s="22" t="s">
        <v>22</v>
      </c>
      <c r="N1" s="22" t="s">
        <v>23</v>
      </c>
      <c r="O1" s="23" t="s">
        <v>24</v>
      </c>
      <c r="P1" s="22" t="s">
        <v>25</v>
      </c>
      <c r="Q1" s="22" t="s">
        <v>26</v>
      </c>
      <c r="R1" s="22" t="s">
        <v>27</v>
      </c>
      <c r="S1" s="26" t="s">
        <v>28</v>
      </c>
      <c r="T1" s="22" t="s">
        <v>29</v>
      </c>
      <c r="U1" s="37" t="s">
        <v>30</v>
      </c>
      <c r="V1" s="22" t="s">
        <v>31</v>
      </c>
      <c r="W1" s="39" t="s">
        <v>32</v>
      </c>
      <c r="X1" s="23" t="s">
        <v>33</v>
      </c>
      <c r="Y1" s="22" t="s">
        <v>34</v>
      </c>
      <c r="Z1" s="22" t="s">
        <v>35</v>
      </c>
      <c r="AA1" s="22" t="s">
        <v>36</v>
      </c>
      <c r="AB1" s="22" t="s">
        <v>37</v>
      </c>
      <c r="AC1" s="22" t="s">
        <v>239</v>
      </c>
      <c r="AD1" s="22" t="s">
        <v>381</v>
      </c>
    </row>
    <row r="2" spans="1:30" customFormat="1" x14ac:dyDescent="0.3">
      <c r="A2" s="20"/>
      <c r="B2" s="20"/>
      <c r="C2" s="8"/>
      <c r="D2" s="7"/>
      <c r="E2" s="6"/>
      <c r="F2" s="6"/>
      <c r="G2" s="9"/>
      <c r="H2" s="47"/>
      <c r="I2" s="14"/>
      <c r="J2" s="7"/>
      <c r="K2" s="13"/>
      <c r="L2" s="11"/>
      <c r="M2" s="10"/>
      <c r="N2" s="10"/>
      <c r="O2" s="11"/>
      <c r="P2" s="18"/>
      <c r="Q2" s="19"/>
      <c r="R2" s="8"/>
      <c r="S2" s="8"/>
      <c r="T2" s="6"/>
      <c r="U2" s="21"/>
      <c r="V2" s="6"/>
      <c r="W2" s="20"/>
      <c r="X2" s="8"/>
      <c r="Y2" s="6"/>
      <c r="Z2" s="6"/>
      <c r="AA2" s="6"/>
      <c r="AB2" s="8"/>
      <c r="AC2" s="6"/>
      <c r="AD2" s="6"/>
    </row>
  </sheetData>
  <phoneticPr fontId="4" type="noConversion"/>
  <conditionalFormatting sqref="A1:A1048576">
    <cfRule type="duplicateValues" dxfId="0" priority="111"/>
  </conditionalFormatting>
  <dataValidations xWindow="1551" yWindow="310" count="24">
    <dataValidation allowBlank="1" showInputMessage="1" showErrorMessage="1" promptTitle="MultiDropDown" prompt="ICH Goals into which entry work falls" sqref="AB1" xr:uid="{4F5FEC88-7C6F-4997-8713-02A88A2BB1B9}"/>
    <dataValidation allowBlank="1" showInputMessage="1" showErrorMessage="1" promptTitle="MultiDropDowns" prompt="ICH domains under which work of entry falls. Not filled for governing or facilitating organizations." sqref="AA1" xr:uid="{8D1CA579-C6C6-4457-890E-A7D7B2BD7EC3}"/>
    <dataValidation allowBlank="1" showInputMessage="1" showErrorMessage="1" promptTitle="MultiDropDown" prompt="Types of cultural property maintained/owned by entry. " sqref="Z1" xr:uid="{FF15D6ED-C1ED-48BF-BF36-6D2CE1ABFB3E}"/>
    <dataValidation allowBlank="1" showInputMessage="1" showErrorMessage="1" prompt="Text copied from 'About Org' on websites " sqref="Q1" xr:uid="{F20BF34D-A4F2-45BD-B018-7AB25EDF0CEB}"/>
    <dataValidation allowBlank="1" showInputMessage="1" showErrorMessage="1" prompt="Notes on entry, includes information from TS and MAS lists. " sqref="R1" xr:uid="{7100300E-BC6D-45B0-9711-73B61EF63BD8}"/>
    <dataValidation allowBlank="1" showInputMessage="1" showErrorMessage="1" promptTitle="MultiDropDown" prompt="Organization subcategory. Autopopulates from Category.Main" sqref="X1" xr:uid="{5A8F04AD-0900-4611-964E-79C71297DDB0}"/>
    <dataValidation allowBlank="1" showInputMessage="1" showErrorMessage="1" promptTitle="SingleDropDown" prompt="Main organization category " sqref="W1" xr:uid="{A5C67524-D12C-46E3-B874-9F4307BE165D}"/>
    <dataValidation allowBlank="1" showInputMessage="1" showErrorMessage="1" promptTitle="MultiDropDown" prompt="Organization Subtype. Drop down populates based on Type.Main" sqref="V1" xr:uid="{469E3BBF-9227-4DAB-A550-4E5A012A1313}"/>
    <dataValidation allowBlank="1" showInputMessage="1" showErrorMessage="1" promptTitle="SingleDropDown" prompt="Organization type" sqref="U1" xr:uid="{B7839BFE-4BD8-497D-A92C-E3C813B23FC8}"/>
    <dataValidation allowBlank="1" showInputMessage="1" showErrorMessage="1" promptTitle="SingleDropDown" prompt="Operation scope" sqref="T1" xr:uid="{AB31E556-EEE2-46EA-AD85-99787DDAA195}"/>
    <dataValidation allowBlank="1" showInputMessage="1" showErrorMessage="1" promptTitle="MultiDropDown" prompt="Data lists- details lists where entry is present and some information was retained here." sqref="S1" xr:uid="{3EBD0059-5F40-4DC4-A9CD-4148057831AD}"/>
    <dataValidation allowBlank="1" showInputMessage="1" showErrorMessage="1" prompt="Name acronym" sqref="C1" xr:uid="{52146AC1-8A33-45F3-B4D2-25F7801F76AA}"/>
    <dataValidation allowBlank="1" showInputMessage="1" showErrorMessage="1" prompt="Organization Sub name - generally the location itself" sqref="B1" xr:uid="{48EFC68D-07AB-4D7F-BBA8-24118F456BAB}"/>
    <dataValidation allowBlank="1" showInputMessage="1" showErrorMessage="1" prompt="Organization name - separates management from location specifically" sqref="A1" xr:uid="{2A8E19FD-49D6-4588-9B27-F8A95AC13B9B}"/>
    <dataValidation type="list" errorStyle="warning" allowBlank="1" showInputMessage="1" showErrorMessage="1" sqref="S2" xr:uid="{98E4924C-00DC-462C-B136-1EB2B643F687}">
      <formula1>Data.Lists</formula1>
    </dataValidation>
    <dataValidation type="list" allowBlank="1" showInputMessage="1" showErrorMessage="1" sqref="W2" xr:uid="{4CDA9CB0-D2A5-4E04-9788-408E72C7C94D}">
      <formula1>Category.Main</formula1>
    </dataValidation>
    <dataValidation type="list" errorStyle="warning" allowBlank="1" showInputMessage="1" showErrorMessage="1" sqref="Z2" xr:uid="{4E9C653C-C7AF-4710-94F3-C5602355535C}">
      <formula1>Cultural.Property</formula1>
    </dataValidation>
    <dataValidation type="list" allowBlank="1" showInputMessage="1" showErrorMessage="1" sqref="T2" xr:uid="{E2DF9A14-21A4-4499-9EF4-FA6A304F2A06}">
      <formula1>Jurisdiction</formula1>
    </dataValidation>
    <dataValidation type="list" allowBlank="1" showInputMessage="1" showErrorMessage="1" sqref="U2" xr:uid="{85424E91-1D5F-4C2E-B1B4-B290E1E4E7CA}">
      <formula1>Type.Main</formula1>
    </dataValidation>
    <dataValidation type="list" errorStyle="warning" allowBlank="1" showInputMessage="1" showErrorMessage="1" sqref="Y2" xr:uid="{813C2060-B757-4A80-9277-06E964C9E142}">
      <formula1>Tangible.Heritage</formula1>
    </dataValidation>
    <dataValidation type="list" errorStyle="warning" allowBlank="1" showInputMessage="1" showErrorMessage="1" sqref="AA2" xr:uid="{611E0C5E-322B-4B1D-A48D-E1B40CB8A4B6}">
      <formula1>ICH.Domain</formula1>
    </dataValidation>
    <dataValidation type="list" errorStyle="warning" allowBlank="1" showInputMessage="1" showErrorMessage="1" sqref="AB2" xr:uid="{00FB4291-BAEC-4DC5-9B8A-B247FC6EEC39}">
      <formula1>ICH.Goal</formula1>
    </dataValidation>
    <dataValidation type="list" errorStyle="warning" allowBlank="1" showInputMessage="1" showErrorMessage="1" sqref="X2" xr:uid="{1E2ABE84-4332-4419-ADED-08A52159E1FF}">
      <formula1>INDIRECT(_xlfn.CONCAT("Category.",W2))</formula1>
    </dataValidation>
    <dataValidation type="list" errorStyle="warning" allowBlank="1" showInputMessage="1" showErrorMessage="1" sqref="V2" xr:uid="{1ACE356A-E152-49EF-B987-8B8889894BF0}">
      <formula1>INDIRECT(_xlfn.CONCAT("Type.",U2))</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979D7-7BBD-45C0-B6BB-BC575F93316B}">
  <sheetPr codeName="Sheet3"/>
  <dimension ref="A1:AF44"/>
  <sheetViews>
    <sheetView zoomScale="70" zoomScaleNormal="70" workbookViewId="0">
      <selection activeCell="E9" sqref="E9"/>
    </sheetView>
  </sheetViews>
  <sheetFormatPr defaultColWidth="0" defaultRowHeight="14.4" zeroHeight="1" x14ac:dyDescent="0.3"/>
  <cols>
    <col min="1" max="1" width="20.77734375" customWidth="1"/>
    <col min="2" max="3" width="20.77734375" style="25" customWidth="1"/>
    <col min="4" max="4" width="2.44140625" customWidth="1"/>
    <col min="5" max="7" width="20.77734375" customWidth="1"/>
    <col min="8" max="8" width="2.21875" customWidth="1"/>
    <col min="9" max="11" width="20.77734375" customWidth="1"/>
    <col min="12" max="12" width="2.5546875" customWidth="1"/>
    <col min="13" max="15" width="20.77734375" customWidth="1"/>
    <col min="16" max="16" width="2.5546875" customWidth="1"/>
    <col min="17" max="19" width="20.77734375" customWidth="1"/>
    <col min="20" max="20" width="2.5546875" customWidth="1"/>
    <col min="21" max="23" width="20.77734375" customWidth="1"/>
    <col min="24" max="24" width="2.5546875" customWidth="1"/>
    <col min="25" max="27" width="20.77734375" customWidth="1"/>
    <col min="28" max="28" width="2.33203125" customWidth="1"/>
    <col min="29" max="32" width="0" hidden="1" customWidth="1"/>
    <col min="33" max="16384" width="8.88671875" hidden="1"/>
  </cols>
  <sheetData>
    <row r="1" spans="1:27" x14ac:dyDescent="0.3">
      <c r="A1" s="1" t="s">
        <v>30</v>
      </c>
      <c r="B1" s="33" t="s">
        <v>1</v>
      </c>
      <c r="C1" s="33" t="s">
        <v>157</v>
      </c>
      <c r="E1" t="s">
        <v>72</v>
      </c>
      <c r="F1" t="s">
        <v>1</v>
      </c>
      <c r="G1" t="s">
        <v>157</v>
      </c>
      <c r="I1" t="s">
        <v>46</v>
      </c>
      <c r="J1" t="s">
        <v>1</v>
      </c>
      <c r="K1" t="s">
        <v>157</v>
      </c>
      <c r="M1" t="s">
        <v>39</v>
      </c>
      <c r="N1" t="s">
        <v>1</v>
      </c>
      <c r="O1" t="s">
        <v>157</v>
      </c>
      <c r="Q1" t="s">
        <v>55</v>
      </c>
      <c r="R1" t="s">
        <v>1</v>
      </c>
      <c r="S1" t="s">
        <v>157</v>
      </c>
      <c r="U1" t="s">
        <v>51</v>
      </c>
      <c r="V1" t="s">
        <v>1</v>
      </c>
      <c r="W1" t="s">
        <v>157</v>
      </c>
      <c r="Y1" t="s">
        <v>91</v>
      </c>
      <c r="Z1" t="s">
        <v>1</v>
      </c>
      <c r="AA1" t="s">
        <v>157</v>
      </c>
    </row>
    <row r="2" spans="1:27" x14ac:dyDescent="0.3">
      <c r="A2" s="5" t="s">
        <v>91</v>
      </c>
      <c r="B2" s="35" t="s">
        <v>376</v>
      </c>
      <c r="C2" s="33">
        <f>COUNTIF(Org.Table[Type.Main],Type.Main.Table[[#This Row],[Type.Main]])</f>
        <v>0</v>
      </c>
      <c r="E2" s="12" t="s">
        <v>240</v>
      </c>
      <c r="F2" s="17" t="s">
        <v>154</v>
      </c>
      <c r="G2" s="32">
        <f>COUNTIF(Org.Table[Type.Sub],"*"&amp;Type.Indigenous.Table[[#This Row],[Indigenous]]&amp;"*")</f>
        <v>0</v>
      </c>
      <c r="I2" s="12" t="s">
        <v>83</v>
      </c>
      <c r="J2" s="17" t="s">
        <v>272</v>
      </c>
      <c r="K2">
        <f>COUNTIF(Org.Table[Type.Sub],"*"&amp;Type.NP.Table[[#This Row],[NP]]&amp;"*")</f>
        <v>0</v>
      </c>
      <c r="M2" s="12" t="s">
        <v>98</v>
      </c>
      <c r="N2" s="17" t="s">
        <v>282</v>
      </c>
      <c r="O2" s="32">
        <f>COUNTIF(Org.Table[Type.Sub],"*"&amp;Type.Private.Table[[#This Row],[Private]]&amp;"*")</f>
        <v>0</v>
      </c>
      <c r="Q2" s="12" t="s">
        <v>149</v>
      </c>
      <c r="R2" s="17" t="s">
        <v>241</v>
      </c>
      <c r="S2">
        <f>COUNTIF(Org.Table[Type.Sub],"*"&amp;Type.Public.Table[[#This Row],[Public]]&amp;"*")</f>
        <v>0</v>
      </c>
      <c r="U2" s="12" t="s">
        <v>160</v>
      </c>
      <c r="V2" s="17" t="s">
        <v>161</v>
      </c>
      <c r="W2" s="32">
        <f>COUNTIF(Org.Table[Type.Sub],"*"&amp;Type.Academic.Table[[#This Row],[Academic]]&amp;"*")</f>
        <v>0</v>
      </c>
      <c r="Y2" s="12" t="s">
        <v>151</v>
      </c>
      <c r="Z2" s="17" t="s">
        <v>248</v>
      </c>
      <c r="AA2">
        <f>COUNTIF(Org.Table[Type.Sub],"*"&amp;Type.Other.Table[[#This Row],[Other]]&amp;"*")</f>
        <v>0</v>
      </c>
    </row>
    <row r="3" spans="1:27" x14ac:dyDescent="0.3">
      <c r="A3" s="5" t="s">
        <v>72</v>
      </c>
      <c r="B3" s="35" t="s">
        <v>404</v>
      </c>
      <c r="C3" s="33">
        <f>COUNTIF(Org.Table[Type.Main],Type.Main.Table[[#This Row],[Type.Main]])</f>
        <v>0</v>
      </c>
      <c r="E3" s="12" t="s">
        <v>71</v>
      </c>
      <c r="F3" s="17" t="s">
        <v>268</v>
      </c>
      <c r="G3">
        <f>COUNTIF(Org.Table[Type.Sub],"*"&amp;Type.Indigenous.Table[[#This Row],[Indigenous]]&amp;"*")</f>
        <v>0</v>
      </c>
      <c r="I3" s="12" t="s">
        <v>141</v>
      </c>
      <c r="J3" s="17" t="s">
        <v>171</v>
      </c>
      <c r="K3">
        <f>COUNTIF(Org.Table[Type.Sub],"*"&amp;Type.NP.Table[[#This Row],[NP]]&amp;"*")</f>
        <v>0</v>
      </c>
      <c r="M3" s="12" t="s">
        <v>66</v>
      </c>
      <c r="N3" s="17" t="s">
        <v>283</v>
      </c>
      <c r="O3">
        <f>COUNTIF(Org.Table[Type.Sub],"*"&amp;Type.Private.Table[[#This Row],[Private]]&amp;"*")</f>
        <v>0</v>
      </c>
      <c r="Q3" s="12" t="s">
        <v>146</v>
      </c>
      <c r="R3" s="17" t="s">
        <v>242</v>
      </c>
      <c r="S3">
        <f>COUNTIF(Org.Table[Type.Sub],"*"&amp;Type.Public.Table[[#This Row],[Public]]&amp;"*")</f>
        <v>0</v>
      </c>
      <c r="U3" s="12" t="s">
        <v>164</v>
      </c>
      <c r="V3" s="42" t="s">
        <v>165</v>
      </c>
      <c r="W3" s="32">
        <f>COUNTIF(Org.Table[Type.Sub],"*"&amp;Type.Academic.Table[[#This Row],[Academic]]&amp;"*")</f>
        <v>0</v>
      </c>
      <c r="Y3" s="12" t="s">
        <v>92</v>
      </c>
      <c r="Z3" s="17" t="s">
        <v>330</v>
      </c>
      <c r="AA3">
        <f>COUNTIF(Org.Table[Type.Sub],"*"&amp;Type.Other.Table[[#This Row],[Other]]&amp;"*")</f>
        <v>0</v>
      </c>
    </row>
    <row r="4" spans="1:27" x14ac:dyDescent="0.3">
      <c r="A4" s="5" t="s">
        <v>39</v>
      </c>
      <c r="B4" s="35" t="s">
        <v>400</v>
      </c>
      <c r="C4" s="33">
        <f>COUNTIF(Org.Table[Type.Main],Type.Main.Table[[#This Row],[Type.Main]])</f>
        <v>0</v>
      </c>
      <c r="E4" s="12" t="s">
        <v>73</v>
      </c>
      <c r="F4" s="17" t="s">
        <v>269</v>
      </c>
      <c r="G4">
        <f>COUNTIF(Org.Table[Type.Sub],"*"&amp;Type.Indigenous.Table[[#This Row],[Indigenous]]&amp;"*")</f>
        <v>0</v>
      </c>
      <c r="I4" s="12" t="s">
        <v>101</v>
      </c>
      <c r="J4" s="17" t="s">
        <v>273</v>
      </c>
      <c r="K4">
        <f>COUNTIF(Org.Table[Type.Sub],"*"&amp;Type.NP.Table[[#This Row],[NP]]&amp;"*")</f>
        <v>0</v>
      </c>
      <c r="M4" s="12" t="s">
        <v>81</v>
      </c>
      <c r="N4" s="17" t="s">
        <v>284</v>
      </c>
      <c r="O4" s="32">
        <f>COUNTIF(Org.Table[Type.Sub],"*"&amp;Type.Private.Table[[#This Row],[Private]]&amp;"*")</f>
        <v>0</v>
      </c>
      <c r="Q4" s="12" t="s">
        <v>119</v>
      </c>
      <c r="R4" s="17" t="s">
        <v>243</v>
      </c>
      <c r="S4">
        <f>COUNTIF(Org.Table[Type.Sub],"*"&amp;Type.Public.Table[[#This Row],[Public]]&amp;"*")</f>
        <v>0</v>
      </c>
      <c r="U4" s="12" t="s">
        <v>162</v>
      </c>
      <c r="V4" s="17" t="s">
        <v>163</v>
      </c>
      <c r="W4" s="32">
        <f>COUNTIF(Org.Table[Type.Sub],"*"&amp;Type.Academic.Table[[#This Row],[Academic]]&amp;"*")</f>
        <v>0</v>
      </c>
      <c r="Y4" s="12" t="s">
        <v>166</v>
      </c>
      <c r="AA4">
        <f>SUBTOTAL(109,Type.Other.Table[Count])</f>
        <v>0</v>
      </c>
    </row>
    <row r="5" spans="1:27" x14ac:dyDescent="0.3">
      <c r="A5" s="5" t="s">
        <v>46</v>
      </c>
      <c r="B5" s="35" t="s">
        <v>401</v>
      </c>
      <c r="C5" s="33">
        <f>COUNTIF(Org.Table[Type.Main],Type.Main.Table[[#This Row],[Type.Main]])</f>
        <v>0</v>
      </c>
      <c r="E5" s="12" t="s">
        <v>144</v>
      </c>
      <c r="F5" s="17" t="s">
        <v>270</v>
      </c>
      <c r="G5">
        <f>COUNTIF(Org.Table[Type.Sub],"*"&amp;Type.Indigenous.Table[[#This Row],[Indigenous]]&amp;"*")</f>
        <v>0</v>
      </c>
      <c r="I5" s="12" t="s">
        <v>106</v>
      </c>
      <c r="J5" s="17" t="s">
        <v>274</v>
      </c>
      <c r="K5">
        <f>COUNTIF(Org.Table[Type.Sub],"*"&amp;Type.NP.Table[[#This Row],[NP]]&amp;"*")</f>
        <v>0</v>
      </c>
      <c r="M5" s="12" t="s">
        <v>40</v>
      </c>
      <c r="N5" s="17" t="s">
        <v>285</v>
      </c>
      <c r="O5">
        <f>COUNTIF(Org.Table[Type.Sub],"*"&amp;Type.Private.Table[[#This Row],[Private]]&amp;"*")</f>
        <v>0</v>
      </c>
      <c r="Q5" s="12" t="s">
        <v>168</v>
      </c>
      <c r="R5" s="17" t="s">
        <v>266</v>
      </c>
      <c r="S5" s="32">
        <f>COUNTIF(Org.Table[Type.Sub],"*"&amp;Type.Public.Table[[#This Row],[Public]]&amp;"*")</f>
        <v>0</v>
      </c>
      <c r="U5" s="12" t="s">
        <v>130</v>
      </c>
      <c r="V5" s="17" t="s">
        <v>167</v>
      </c>
      <c r="W5">
        <f>COUNTIF(Org.Table[Type.Sub],"*"&amp;Type.Academic.Table[[#This Row],[Academic]]&amp;"*")</f>
        <v>0</v>
      </c>
    </row>
    <row r="6" spans="1:27" x14ac:dyDescent="0.3">
      <c r="A6" s="5" t="s">
        <v>51</v>
      </c>
      <c r="B6" s="35" t="s">
        <v>403</v>
      </c>
      <c r="C6" s="33">
        <f>COUNTIF(Org.Table[Type.Main],Type.Main.Table[[#This Row],[Type.Main]])</f>
        <v>0</v>
      </c>
      <c r="E6" s="12" t="s">
        <v>74</v>
      </c>
      <c r="F6" s="17" t="s">
        <v>271</v>
      </c>
      <c r="G6">
        <f>COUNTIF(Org.Table[Type.Sub],"*"&amp;Type.Indigenous.Table[[#This Row],[Indigenous]]&amp;"*")</f>
        <v>0</v>
      </c>
      <c r="I6" s="12" t="s">
        <v>100</v>
      </c>
      <c r="J6" s="17" t="s">
        <v>275</v>
      </c>
      <c r="K6">
        <f>COUNTIF(Org.Table[Type.Sub],"*"&amp;Type.NP.Table[[#This Row],[NP]]&amp;"*")</f>
        <v>0</v>
      </c>
      <c r="M6" s="12" t="s">
        <v>166</v>
      </c>
      <c r="O6">
        <f>SUBTOTAL(109,Type.Private.Table[Count])</f>
        <v>0</v>
      </c>
      <c r="Q6" s="12" t="s">
        <v>96</v>
      </c>
      <c r="R6" s="17" t="s">
        <v>267</v>
      </c>
      <c r="S6">
        <f>COUNTIF(Org.Table[Type.Sub],"*"&amp;Type.Public.Table[[#This Row],[Public]]&amp;"*")</f>
        <v>0</v>
      </c>
      <c r="U6" s="12" t="s">
        <v>158</v>
      </c>
      <c r="V6" s="17" t="s">
        <v>159</v>
      </c>
      <c r="W6" s="32">
        <f>COUNTIF(Org.Table[Type.Sub],"*"&amp;Type.Academic.Table[[#This Row],[Academic]]&amp;"*")</f>
        <v>0</v>
      </c>
    </row>
    <row r="7" spans="1:27" x14ac:dyDescent="0.3">
      <c r="A7" s="5" t="s">
        <v>55</v>
      </c>
      <c r="B7" s="35" t="s">
        <v>402</v>
      </c>
      <c r="C7" s="33">
        <f>COUNTIF(Org.Table[Type.Main],Type.Main.Table[[#This Row],[Type.Main]])</f>
        <v>0</v>
      </c>
      <c r="E7" s="12" t="s">
        <v>166</v>
      </c>
      <c r="G7">
        <f>SUBTOTAL(109,Type.Indigenous.Table[Count])</f>
        <v>0</v>
      </c>
      <c r="I7" s="12" t="s">
        <v>134</v>
      </c>
      <c r="J7" s="17" t="s">
        <v>276</v>
      </c>
      <c r="K7">
        <f>COUNTIF(Org.Table[Type.Sub],"*"&amp;Type.NP.Table[[#This Row],[NP]]&amp;"*")</f>
        <v>0</v>
      </c>
      <c r="Q7" s="12" t="s">
        <v>89</v>
      </c>
      <c r="R7" s="17" t="s">
        <v>265</v>
      </c>
      <c r="S7">
        <f>COUNTIF(Org.Table[Type.Sub],"*"&amp;Type.Public.Table[[#This Row],[Public]]&amp;"*")</f>
        <v>0</v>
      </c>
      <c r="U7" s="12" t="s">
        <v>118</v>
      </c>
      <c r="V7" s="17" t="s">
        <v>169</v>
      </c>
      <c r="W7">
        <f>COUNTIF(Org.Table[Type.Sub],"*"&amp;Type.Academic.Table[[#This Row],[Academic]]&amp;"*")</f>
        <v>0</v>
      </c>
    </row>
    <row r="8" spans="1:27" x14ac:dyDescent="0.3">
      <c r="A8" s="5" t="s">
        <v>170</v>
      </c>
      <c r="B8" s="1"/>
      <c r="C8" s="1">
        <f>SUBTOTAL(109,Type.Main.Table[Count])</f>
        <v>0</v>
      </c>
      <c r="I8" s="12" t="s">
        <v>99</v>
      </c>
      <c r="J8" s="17" t="s">
        <v>277</v>
      </c>
      <c r="K8">
        <f>COUNTIF(Org.Table[Type.Sub],"*"&amp;Type.NP.Table[[#This Row],[NP]]&amp;"*")</f>
        <v>0</v>
      </c>
      <c r="Q8" s="12" t="s">
        <v>125</v>
      </c>
      <c r="R8" s="17" t="s">
        <v>264</v>
      </c>
      <c r="S8">
        <f>COUNTIF(Org.Table[Type.Sub],"*"&amp;Type.Public.Table[[#This Row],[Public]]&amp;"*")</f>
        <v>0</v>
      </c>
      <c r="U8" s="12" t="s">
        <v>155</v>
      </c>
      <c r="V8" s="17" t="s">
        <v>172</v>
      </c>
      <c r="W8">
        <f>COUNTIF(Org.Table[Type.Sub],"*"&amp;Type.Academic.Table[[#This Row],[Academic]]&amp;"*")</f>
        <v>0</v>
      </c>
    </row>
    <row r="9" spans="1:27" x14ac:dyDescent="0.3">
      <c r="I9" s="12" t="s">
        <v>70</v>
      </c>
      <c r="J9" s="17" t="s">
        <v>278</v>
      </c>
      <c r="K9">
        <f>COUNTIF(Org.Table[Type.Sub],"*"&amp;Type.NP.Table[[#This Row],[NP]]&amp;"*")</f>
        <v>0</v>
      </c>
      <c r="Q9" s="12" t="s">
        <v>56</v>
      </c>
      <c r="R9" s="17" t="s">
        <v>263</v>
      </c>
      <c r="S9">
        <f>COUNTIF(Org.Table[Type.Sub],"*"&amp;Type.Public.Table[[#This Row],[Public]]&amp;"*")</f>
        <v>0</v>
      </c>
      <c r="U9" s="12" t="s">
        <v>129</v>
      </c>
      <c r="V9" s="17" t="s">
        <v>129</v>
      </c>
      <c r="W9">
        <f>COUNTIF(Org.Table[Type.Sub],"*"&amp;Type.Academic.Table[[#This Row],[Academic]]&amp;"*")</f>
        <v>0</v>
      </c>
    </row>
    <row r="10" spans="1:27" x14ac:dyDescent="0.3">
      <c r="I10" s="12" t="s">
        <v>121</v>
      </c>
      <c r="J10" s="17" t="s">
        <v>279</v>
      </c>
      <c r="K10">
        <f>COUNTIF(Org.Table[Type.Sub],"*"&amp;Type.NP.Table[[#This Row],[NP]]&amp;"*")</f>
        <v>0</v>
      </c>
      <c r="Q10" s="12" t="s">
        <v>166</v>
      </c>
      <c r="S10">
        <f>SUBTOTAL(109,Type.Public.Table[Count])</f>
        <v>0</v>
      </c>
      <c r="U10" s="12" t="s">
        <v>150</v>
      </c>
      <c r="V10" s="42" t="s">
        <v>173</v>
      </c>
      <c r="W10" s="32">
        <f>COUNTIF(Org.Table[Type.Sub],"*"&amp;Type.Academic.Table[[#This Row],[Academic]]&amp;"*")</f>
        <v>0</v>
      </c>
    </row>
    <row r="11" spans="1:27" x14ac:dyDescent="0.3">
      <c r="I11" s="12" t="s">
        <v>136</v>
      </c>
      <c r="J11" s="17" t="s">
        <v>280</v>
      </c>
      <c r="K11">
        <f>COUNTIF(Org.Table[Type.Sub],"*"&amp;Type.NP.Table[[#This Row],[NP]]&amp;"*")</f>
        <v>0</v>
      </c>
      <c r="U11" s="12" t="s">
        <v>122</v>
      </c>
      <c r="V11" s="17" t="s">
        <v>174</v>
      </c>
      <c r="W11">
        <f>COUNTIF(Org.Table[Type.Sub],"*"&amp;Type.Academic.Table[[#This Row],[Academic]]&amp;"*")</f>
        <v>0</v>
      </c>
    </row>
    <row r="12" spans="1:27" x14ac:dyDescent="0.3">
      <c r="I12" s="12" t="s">
        <v>47</v>
      </c>
      <c r="J12" s="17" t="s">
        <v>281</v>
      </c>
      <c r="K12">
        <f>COUNTIF(Org.Table[Type.Sub],"*"&amp;Type.NP.Table[[#This Row],[NP]]&amp;"*")</f>
        <v>0</v>
      </c>
      <c r="U12" s="12" t="s">
        <v>175</v>
      </c>
      <c r="V12" s="17" t="s">
        <v>176</v>
      </c>
      <c r="W12">
        <f>COUNTIF(Org.Table[Type.Sub],"*"&amp;Type.Academic.Table[[#This Row],[Academic]]&amp;"*")</f>
        <v>0</v>
      </c>
    </row>
    <row r="13" spans="1:27" x14ac:dyDescent="0.3">
      <c r="I13" s="12" t="s">
        <v>77</v>
      </c>
      <c r="J13" s="17" t="s">
        <v>249</v>
      </c>
      <c r="K13">
        <f>COUNTIF(Org.Table[Type.Sub],"*"&amp;Type.NP.Table[[#This Row],[NP]]&amp;"*")</f>
        <v>0</v>
      </c>
      <c r="U13" s="12" t="s">
        <v>137</v>
      </c>
      <c r="V13" s="17" t="s">
        <v>177</v>
      </c>
      <c r="W13" s="32">
        <f>COUNTIF(Org.Table[Type.Sub],"*"&amp;Type.Academic.Table[[#This Row],[Academic]]&amp;"*")</f>
        <v>0</v>
      </c>
    </row>
    <row r="14" spans="1:27" x14ac:dyDescent="0.3">
      <c r="I14" s="12" t="s">
        <v>166</v>
      </c>
      <c r="K14">
        <f>SUBTOTAL(109,Type.NP.Table[Count])</f>
        <v>0</v>
      </c>
      <c r="U14" s="12" t="s">
        <v>126</v>
      </c>
      <c r="V14" s="17" t="s">
        <v>178</v>
      </c>
      <c r="W14">
        <f>COUNTIF(Org.Table[Type.Sub],"*"&amp;Type.Academic.Table[[#This Row],[Academic]]&amp;"*")</f>
        <v>0</v>
      </c>
    </row>
    <row r="15" spans="1:27" x14ac:dyDescent="0.3">
      <c r="U15" s="12" t="s">
        <v>72</v>
      </c>
      <c r="V15" s="17" t="s">
        <v>179</v>
      </c>
      <c r="W15">
        <f>COUNTIF(Org.Table[Type.Sub],"*"&amp;Type.Academic.Table[[#This Row],[Academic]]&amp;"*")</f>
        <v>0</v>
      </c>
    </row>
    <row r="16" spans="1:27" x14ac:dyDescent="0.3">
      <c r="U16" s="12" t="s">
        <v>142</v>
      </c>
      <c r="V16" s="17" t="s">
        <v>180</v>
      </c>
      <c r="W16">
        <f>COUNTIF(Org.Table[Type.Sub],"*"&amp;Type.Academic.Table[[#This Row],[Academic]]&amp;"*")</f>
        <v>0</v>
      </c>
    </row>
    <row r="17" spans="21:23" x14ac:dyDescent="0.3">
      <c r="U17" s="12" t="s">
        <v>128</v>
      </c>
      <c r="V17" s="17" t="s">
        <v>181</v>
      </c>
      <c r="W17">
        <f>COUNTIF(Org.Table[Type.Sub],"*"&amp;Type.Academic.Table[[#This Row],[Academic]]&amp;"*")</f>
        <v>0</v>
      </c>
    </row>
    <row r="18" spans="21:23" x14ac:dyDescent="0.3">
      <c r="U18" s="12" t="s">
        <v>127</v>
      </c>
      <c r="V18" s="17" t="s">
        <v>182</v>
      </c>
      <c r="W18" s="32">
        <f>COUNTIF(Org.Table[Type.Sub],"*"&amp;Type.Academic.Table[[#This Row],[Academic]]&amp;"*")</f>
        <v>0</v>
      </c>
    </row>
    <row r="19" spans="21:23" x14ac:dyDescent="0.3">
      <c r="U19" s="12" t="s">
        <v>166</v>
      </c>
      <c r="W19">
        <f>SUBTOTAL(109,Type.Academic.Table[Count])</f>
        <v>0</v>
      </c>
    </row>
    <row r="20" spans="21:23" x14ac:dyDescent="0.3"/>
    <row r="21" spans="21:23" x14ac:dyDescent="0.3"/>
    <row r="22" spans="21:23" x14ac:dyDescent="0.3"/>
    <row r="23" spans="21:23" x14ac:dyDescent="0.3"/>
    <row r="24" spans="21:23" x14ac:dyDescent="0.3"/>
    <row r="25" spans="21:23" x14ac:dyDescent="0.3"/>
    <row r="26" spans="21:23" x14ac:dyDescent="0.3"/>
    <row r="27" spans="21:23" x14ac:dyDescent="0.3"/>
    <row r="28" spans="21:23" x14ac:dyDescent="0.3"/>
    <row r="29" spans="21:23" x14ac:dyDescent="0.3"/>
    <row r="30" spans="21:23" x14ac:dyDescent="0.3"/>
    <row r="31" spans="21:23" x14ac:dyDescent="0.3"/>
    <row r="32" spans="21:23"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0371-4FD3-4842-A4E4-EF7AD7AAD4D5}">
  <sheetPr codeName="Sheet9"/>
  <dimension ref="A1:S43"/>
  <sheetViews>
    <sheetView zoomScale="70" zoomScaleNormal="70" workbookViewId="0">
      <selection activeCell="M10" sqref="M10"/>
    </sheetView>
  </sheetViews>
  <sheetFormatPr defaultColWidth="0" defaultRowHeight="14.4" zeroHeight="1" x14ac:dyDescent="0.3"/>
  <cols>
    <col min="1" max="1" width="20.77734375" customWidth="1"/>
    <col min="2" max="3" width="20.77734375" style="25" customWidth="1"/>
    <col min="4" max="4" width="2.21875" customWidth="1"/>
    <col min="5" max="7" width="20.77734375" customWidth="1"/>
    <col min="8" max="8" width="2.6640625" customWidth="1"/>
    <col min="9" max="11" width="20.77734375" customWidth="1"/>
    <col min="12" max="12" width="2.6640625" customWidth="1"/>
    <col min="13" max="15" width="20.77734375" customWidth="1"/>
    <col min="16" max="16" width="2.88671875" customWidth="1"/>
    <col min="17" max="19" width="20.77734375" customWidth="1"/>
    <col min="20" max="16384" width="8.88671875" hidden="1"/>
  </cols>
  <sheetData>
    <row r="1" spans="1:19" x14ac:dyDescent="0.3">
      <c r="A1" s="1" t="s">
        <v>183</v>
      </c>
      <c r="B1" s="33" t="s">
        <v>1</v>
      </c>
      <c r="C1" s="33" t="s">
        <v>157</v>
      </c>
      <c r="E1" t="s">
        <v>57</v>
      </c>
      <c r="F1" t="s">
        <v>1</v>
      </c>
      <c r="G1" t="s">
        <v>157</v>
      </c>
      <c r="I1" t="s">
        <v>41</v>
      </c>
      <c r="J1" t="s">
        <v>1</v>
      </c>
      <c r="K1" t="s">
        <v>157</v>
      </c>
      <c r="M1" t="s">
        <v>62</v>
      </c>
      <c r="N1" t="s">
        <v>1</v>
      </c>
      <c r="O1" t="s">
        <v>157</v>
      </c>
      <c r="Q1" t="s">
        <v>52</v>
      </c>
      <c r="R1" t="s">
        <v>1</v>
      </c>
      <c r="S1" t="s">
        <v>157</v>
      </c>
    </row>
    <row r="2" spans="1:19" x14ac:dyDescent="0.3">
      <c r="A2" s="5" t="s">
        <v>41</v>
      </c>
      <c r="B2" s="35" t="s">
        <v>406</v>
      </c>
      <c r="C2" s="36">
        <f>COUNTIF(Org.Table[Category.Main],Category.Main.Table[[#This Row],[Category]])</f>
        <v>0</v>
      </c>
      <c r="E2" s="12" t="s">
        <v>109</v>
      </c>
      <c r="F2" s="17" t="s">
        <v>257</v>
      </c>
      <c r="G2" s="34">
        <f>COUNTIF(Org.Table[Category.Sub],"*"&amp;Category.Governing.Table[[#This Row],[Governing]]&amp;"*")</f>
        <v>0</v>
      </c>
      <c r="I2" s="12" t="s">
        <v>97</v>
      </c>
      <c r="J2" s="17" t="s">
        <v>287</v>
      </c>
      <c r="K2" s="34">
        <f>COUNTIF(Org.Table[Category.Sub],"*"&amp;Category.Facilitating.Table[[#This Row],[Facilitating]]&amp;"*")</f>
        <v>0</v>
      </c>
      <c r="M2" s="12" t="s">
        <v>156</v>
      </c>
      <c r="N2" s="17" t="s">
        <v>286</v>
      </c>
      <c r="O2" s="34">
        <f>COUNTIF(Org.Table[Category.Sub],"*"&amp;Category.Conserving.Table[[#This Row],[Conserving]]&amp;"*")</f>
        <v>0</v>
      </c>
      <c r="Q2" s="12" t="s">
        <v>138</v>
      </c>
      <c r="R2" s="17" t="s">
        <v>307</v>
      </c>
      <c r="S2">
        <f>COUNTIF(Org.Table[Category.Sub],"*"&amp;Category.Supporting.Table[[#This Row],[Supporting]]&amp;"*")</f>
        <v>0</v>
      </c>
    </row>
    <row r="3" spans="1:19" x14ac:dyDescent="0.3">
      <c r="A3" s="5" t="s">
        <v>57</v>
      </c>
      <c r="B3" s="35" t="s">
        <v>186</v>
      </c>
      <c r="C3" s="36">
        <f>COUNTIF(Org.Table[Category.Main],Category.Main.Table[[#This Row],[Category]])</f>
        <v>0</v>
      </c>
      <c r="E3" s="12" t="s">
        <v>133</v>
      </c>
      <c r="F3" s="17" t="s">
        <v>262</v>
      </c>
      <c r="G3" s="41">
        <f>COUNTIF(Org.Table[Category.Sub],"*"&amp;Category.Governing.Table[[#This Row],[Governing]]&amp;"*")</f>
        <v>0</v>
      </c>
      <c r="I3" s="12" t="s">
        <v>153</v>
      </c>
      <c r="J3" s="17" t="s">
        <v>288</v>
      </c>
      <c r="K3" s="34">
        <f>COUNTIF(Org.Table[Category.Sub],"*"&amp;Category.Facilitating.Table[[#This Row],[Facilitating]]&amp;"*")</f>
        <v>0</v>
      </c>
      <c r="M3" s="12" t="s">
        <v>185</v>
      </c>
      <c r="N3" s="17" t="s">
        <v>296</v>
      </c>
      <c r="O3" s="34">
        <f>COUNTIF(Org.Table[Category.Sub],"*"&amp;Category.Conserving.Table[[#This Row],[Conserving]]&amp;"*")</f>
        <v>0</v>
      </c>
      <c r="Q3" s="12" t="s">
        <v>145</v>
      </c>
      <c r="R3" s="17" t="s">
        <v>308</v>
      </c>
      <c r="S3">
        <f>COUNTIF(Org.Table[Category.Sub],"*"&amp;Category.Supporting.Table[[#This Row],[Supporting]]&amp;"*")</f>
        <v>0</v>
      </c>
    </row>
    <row r="4" spans="1:19" x14ac:dyDescent="0.3">
      <c r="A4" s="5" t="s">
        <v>62</v>
      </c>
      <c r="B4" s="35" t="s">
        <v>184</v>
      </c>
      <c r="C4" s="36">
        <f>COUNTIF(Org.Table[Category.Main],Category.Main.Table[[#This Row],[Category]])</f>
        <v>0</v>
      </c>
      <c r="E4" s="12" t="s">
        <v>131</v>
      </c>
      <c r="F4" s="17" t="s">
        <v>258</v>
      </c>
      <c r="G4" s="34">
        <f>COUNTIF(Org.Table[Category.Sub],"*"&amp;Category.Governing.Table[[#This Row],[Governing]]&amp;"*")</f>
        <v>0</v>
      </c>
      <c r="I4" s="12" t="s">
        <v>123</v>
      </c>
      <c r="J4" s="17" t="s">
        <v>289</v>
      </c>
      <c r="K4" s="34">
        <f>COUNTIF(Org.Table[Category.Sub],"*"&amp;Category.Facilitating.Table[[#This Row],[Facilitating]]&amp;"*")</f>
        <v>0</v>
      </c>
      <c r="M4" s="12" t="s">
        <v>114</v>
      </c>
      <c r="N4" s="17" t="s">
        <v>297</v>
      </c>
      <c r="O4" s="34">
        <f>COUNTIF(Org.Table[Category.Sub],"*"&amp;Category.Conserving.Table[[#This Row],[Conserving]]&amp;"*")</f>
        <v>0</v>
      </c>
      <c r="Q4" s="12" t="s">
        <v>148</v>
      </c>
      <c r="R4" s="17" t="s">
        <v>311</v>
      </c>
      <c r="S4">
        <f>COUNTIF(Org.Table[Category.Sub],"*"&amp;Category.Supporting.Table[[#This Row],[Supporting]]&amp;"*")-COUNTIF(Org.Table[Category.Sub],"*"&amp;"Art Gallery"&amp;"*")</f>
        <v>0</v>
      </c>
    </row>
    <row r="5" spans="1:19" x14ac:dyDescent="0.3">
      <c r="A5" s="5" t="s">
        <v>52</v>
      </c>
      <c r="B5" s="35" t="s">
        <v>405</v>
      </c>
      <c r="C5" s="36">
        <f>COUNTIF(Org.Table[Category.Main],Category.Main.Table[[#This Row],[Category]])</f>
        <v>0</v>
      </c>
      <c r="E5" s="12" t="s">
        <v>73</v>
      </c>
      <c r="F5" s="17" t="s">
        <v>269</v>
      </c>
      <c r="G5" s="34">
        <f>COUNTIF(Org.Table[Category.Sub],"*"&amp;Category.Governing.Table[[#This Row],[Governing]]&amp;"*")</f>
        <v>0</v>
      </c>
      <c r="I5" s="12" t="s">
        <v>48</v>
      </c>
      <c r="J5" s="17" t="s">
        <v>290</v>
      </c>
      <c r="K5" s="34">
        <f>COUNTIF(Org.Table[Category.Sub],"*"&amp;Category.Facilitating.Table[[#This Row],[Facilitating]]&amp;"*")</f>
        <v>0</v>
      </c>
      <c r="M5" s="12" t="s">
        <v>9</v>
      </c>
      <c r="N5" s="17" t="s">
        <v>298</v>
      </c>
      <c r="O5" s="34">
        <f>COUNTIF(Org.Table[Category.Sub],"*"&amp;Category.Conserving.Table[[#This Row],[Conserving]]&amp;"*")</f>
        <v>0</v>
      </c>
      <c r="Q5" s="12" t="s">
        <v>132</v>
      </c>
      <c r="R5" s="17" t="s">
        <v>309</v>
      </c>
      <c r="S5">
        <f>COUNTIF(Org.Table[Category.Sub],"*"&amp;Category.Supporting.Table[[#This Row],[Supporting]]&amp;"*")</f>
        <v>0</v>
      </c>
    </row>
    <row r="6" spans="1:19" x14ac:dyDescent="0.3">
      <c r="A6" s="5" t="s">
        <v>382</v>
      </c>
      <c r="B6" s="3"/>
      <c r="C6" s="4">
        <f>SUBTOTAL(109,Category.Main.Table[Count])</f>
        <v>0</v>
      </c>
      <c r="E6" s="12" t="s">
        <v>113</v>
      </c>
      <c r="F6" s="17" t="s">
        <v>262</v>
      </c>
      <c r="G6" s="41">
        <f>COUNTIF(Org.Table[Category.Sub],"*"&amp;Category.Governing.Table[[#This Row],[Governing]]&amp;"*")</f>
        <v>0</v>
      </c>
      <c r="I6" s="12" t="s">
        <v>187</v>
      </c>
      <c r="J6" s="17" t="s">
        <v>291</v>
      </c>
      <c r="K6" s="34">
        <f>COUNTIF(Org.Table[Category.Sub],"*"&amp;Category.Facilitating.Table[[#This Row],[Facilitating]]&amp;"*")</f>
        <v>0</v>
      </c>
      <c r="M6" s="12" t="s">
        <v>189</v>
      </c>
      <c r="N6" s="17" t="s">
        <v>300</v>
      </c>
      <c r="O6" s="34">
        <f>COUNTIF(Org.Table[Category.Sub],"*"&amp;Category.Conserving.Table[[#This Row],[Conserving]]&amp;"*")-COUNTIF(Org.Table[Category.Sub],"*"&amp;"Metis Nation"&amp;"*")</f>
        <v>0</v>
      </c>
      <c r="Q6" s="12" t="s">
        <v>103</v>
      </c>
      <c r="R6" s="17" t="s">
        <v>312</v>
      </c>
      <c r="S6">
        <f>COUNTIF(Org.Table[Category.Sub],"*"&amp;Category.Supporting.Table[[#This Row],[Supporting]]&amp;"*")</f>
        <v>0</v>
      </c>
    </row>
    <row r="7" spans="1:19" x14ac:dyDescent="0.3">
      <c r="E7" s="12" t="s">
        <v>75</v>
      </c>
      <c r="F7" s="17" t="s">
        <v>262</v>
      </c>
      <c r="G7" s="34">
        <f>COUNTIF(Org.Table[Category.Sub],"*"&amp;Category.Governing.Table[[#This Row],[Governing]]&amp;"*")</f>
        <v>0</v>
      </c>
      <c r="I7" s="12" t="s">
        <v>140</v>
      </c>
      <c r="J7" s="17" t="s">
        <v>292</v>
      </c>
      <c r="K7" s="34">
        <f>COUNTIF(Org.Table[Category.Sub],"*"&amp;Category.Facilitating.Table[[#This Row],[Facilitating]]&amp;"*")</f>
        <v>0</v>
      </c>
      <c r="M7" s="12" t="s">
        <v>188</v>
      </c>
      <c r="N7" s="17" t="s">
        <v>299</v>
      </c>
      <c r="O7" s="34">
        <f>COUNTIF(Org.Table[Category.Sub],"*"&amp;Category.Conserving.Table[[#This Row],[Conserving]]&amp;"*")</f>
        <v>0</v>
      </c>
      <c r="Q7" s="12" t="s">
        <v>120</v>
      </c>
      <c r="R7" s="17" t="s">
        <v>316</v>
      </c>
      <c r="S7">
        <f>COUNTIF(Org.Table[Category.Sub],"*"&amp;Category.Supporting.Table[[#This Row],[Supporting]]&amp;"*")</f>
        <v>0</v>
      </c>
    </row>
    <row r="8" spans="1:19" x14ac:dyDescent="0.3">
      <c r="B8"/>
      <c r="E8" s="12" t="s">
        <v>144</v>
      </c>
      <c r="F8" s="17" t="s">
        <v>270</v>
      </c>
      <c r="G8" s="34">
        <f>COUNTIF(Org.Table[Category.Sub],"*"&amp;Category.Governing.Table[[#This Row],[Governing]]&amp;"*")</f>
        <v>0</v>
      </c>
      <c r="I8" s="12" t="s">
        <v>115</v>
      </c>
      <c r="J8" s="17" t="s">
        <v>293</v>
      </c>
      <c r="K8" s="34">
        <f>COUNTIF(Org.Table[Category.Sub],"*"&amp;Category.Facilitating.Table[[#This Row],[Facilitating]]&amp;"*")</f>
        <v>0</v>
      </c>
      <c r="M8" s="12" t="s">
        <v>93</v>
      </c>
      <c r="N8" s="17" t="s">
        <v>301</v>
      </c>
      <c r="O8" s="34">
        <f>COUNTIF(Org.Table[Category.Sub],"*"&amp;Category.Conserving.Table[[#This Row],[Conserving]]&amp;"*")</f>
        <v>0</v>
      </c>
      <c r="Q8" s="12" t="s">
        <v>84</v>
      </c>
      <c r="R8" s="17" t="s">
        <v>313</v>
      </c>
      <c r="S8">
        <f>COUNTIF(Org.Table[Category.Sub],"*"&amp;Category.Supporting.Table[[#This Row],[Supporting]]&amp;"*")</f>
        <v>0</v>
      </c>
    </row>
    <row r="9" spans="1:19" x14ac:dyDescent="0.3">
      <c r="B9"/>
      <c r="E9" s="12" t="s">
        <v>135</v>
      </c>
      <c r="F9" s="17" t="s">
        <v>259</v>
      </c>
      <c r="G9" s="34">
        <f>COUNTIF(Org.Table[Category.Sub],"*"&amp;Category.Governing.Table[[#This Row],[Governing]]&amp;"*")</f>
        <v>0</v>
      </c>
      <c r="I9" s="12" t="s">
        <v>117</v>
      </c>
      <c r="J9" s="17" t="s">
        <v>294</v>
      </c>
      <c r="K9" s="34">
        <f>COUNTIF(Org.Table[Category.Sub],"*"&amp;Category.Facilitating.Table[[#This Row],[Facilitating]]&amp;"*")</f>
        <v>0</v>
      </c>
      <c r="M9" s="12" t="s">
        <v>76</v>
      </c>
      <c r="N9" s="17" t="s">
        <v>302</v>
      </c>
      <c r="O9" s="34">
        <f>COUNTIF(Org.Table[Category.Sub],"*"&amp;Category.Conserving.Table[[#This Row],[Conserving]]&amp;"*")</f>
        <v>0</v>
      </c>
      <c r="Q9" s="12" t="s">
        <v>104</v>
      </c>
      <c r="R9" s="17" t="s">
        <v>315</v>
      </c>
      <c r="S9">
        <f>COUNTIF(Org.Table[Category.Sub],"*"&amp;Category.Supporting.Table[[#This Row],[Supporting]]&amp;"*")</f>
        <v>0</v>
      </c>
    </row>
    <row r="10" spans="1:19" x14ac:dyDescent="0.3">
      <c r="B10"/>
      <c r="E10" s="12" t="s">
        <v>80</v>
      </c>
      <c r="F10" s="17" t="s">
        <v>259</v>
      </c>
      <c r="G10" s="34">
        <f>COUNTIF(Org.Table[Category.Sub],"*"&amp;Category.Governing.Table[[#This Row],[Governing]]&amp;"*")</f>
        <v>0</v>
      </c>
      <c r="I10" s="12" t="s">
        <v>88</v>
      </c>
      <c r="J10" s="17" t="s">
        <v>295</v>
      </c>
      <c r="K10" s="34">
        <f>COUNTIF(Org.Table[Category.Sub],"*"&amp;Category.Facilitating.Table[[#This Row],[Facilitating]]&amp;"*")</f>
        <v>0</v>
      </c>
      <c r="M10" s="12" t="s">
        <v>377</v>
      </c>
      <c r="N10" s="17" t="s">
        <v>303</v>
      </c>
      <c r="O10" s="34">
        <f>COUNTIF(Org.Table[Category.Sub],"*"&amp;Category.Conserving.Table[[#This Row],[Conserving]]&amp;"*")-COUNTIF(Org.Table[Category.Sub],"*"&amp;"Cultural Group(s)"&amp;"*")</f>
        <v>0</v>
      </c>
      <c r="Q10" s="12" t="s">
        <v>95</v>
      </c>
      <c r="R10" s="17" t="s">
        <v>310</v>
      </c>
      <c r="S10">
        <f>COUNTIF(Org.Table[Category.Sub],"*"&amp;Category.Supporting.Table[[#This Row],[Supporting]]&amp;"*")</f>
        <v>0</v>
      </c>
    </row>
    <row r="11" spans="1:19" x14ac:dyDescent="0.3">
      <c r="B11"/>
      <c r="E11" s="12" t="s">
        <v>90</v>
      </c>
      <c r="F11" s="17" t="s">
        <v>261</v>
      </c>
      <c r="G11" s="41">
        <f>COUNTIF(Org.Table[Category.Sub],"*"&amp;Category.Governing.Table[[#This Row],[Governing]]&amp;"*")</f>
        <v>0</v>
      </c>
      <c r="I11" t="s">
        <v>166</v>
      </c>
      <c r="J11" s="17"/>
      <c r="K11" s="34">
        <f>SUBTOTAL(109,Category.Facilitating.Table[Count])</f>
        <v>0</v>
      </c>
      <c r="M11" s="12" t="s">
        <v>67</v>
      </c>
      <c r="N11" s="17" t="s">
        <v>304</v>
      </c>
      <c r="O11" s="34">
        <f>COUNTIF(Org.Table[Category.Sub],"*"&amp;Category.Conserving.Table[[#This Row],[Conserving]]&amp;"*")</f>
        <v>0</v>
      </c>
      <c r="Q11" s="12" t="s">
        <v>53</v>
      </c>
      <c r="R11" s="17" t="s">
        <v>314</v>
      </c>
      <c r="S11">
        <f>COUNTIF(Org.Table[Category.Sub],"*"&amp;Category.Supporting.Table[[#This Row],[Supporting]]&amp;"*")</f>
        <v>0</v>
      </c>
    </row>
    <row r="12" spans="1:19" x14ac:dyDescent="0.3">
      <c r="B12"/>
      <c r="E12" s="12" t="s">
        <v>74</v>
      </c>
      <c r="F12" s="17" t="s">
        <v>271</v>
      </c>
      <c r="G12" s="34">
        <f>COUNTIF(Org.Table[Category.Sub],"*"&amp;Category.Governing.Table[[#This Row],[Governing]]&amp;"*")-COUNTIF(Org.Table[Category.Sub],"*"&amp;"First Nations"&amp;"*")</f>
        <v>0</v>
      </c>
      <c r="M12" s="12" t="s">
        <v>378</v>
      </c>
      <c r="N12" s="17" t="s">
        <v>306</v>
      </c>
      <c r="O12" s="34">
        <f>COUNTIF(Org.Table[Category.Sub],"*"&amp;Category.Conserving.Table[[#This Row],[Conserving]]&amp;"*")</f>
        <v>0</v>
      </c>
      <c r="Q12" t="s">
        <v>166</v>
      </c>
      <c r="R12" s="17"/>
      <c r="S12">
        <f>SUBTOTAL(109,Category.Supporting.Table[Count])</f>
        <v>0</v>
      </c>
    </row>
    <row r="13" spans="1:19" x14ac:dyDescent="0.3">
      <c r="B13"/>
      <c r="E13" s="12" t="s">
        <v>58</v>
      </c>
      <c r="F13" s="17" t="s">
        <v>259</v>
      </c>
      <c r="G13" s="34">
        <f>COUNTIF(Org.Table[Category.Sub],"*"&amp;Category.Governing.Table[[#This Row],[Governing]]&amp;"*")-COUNTIF(Org.Table[Category.Sub],"*"&amp;"Northern Town"&amp;"*")</f>
        <v>0</v>
      </c>
      <c r="M13" s="12" t="s">
        <v>61</v>
      </c>
      <c r="N13" s="17" t="s">
        <v>305</v>
      </c>
      <c r="O13" s="34">
        <f>COUNTIF(Org.Table[Category.Sub],"*"&amp;Category.Conserving.Table[[#This Row],[Conserving]]&amp;"*")</f>
        <v>0</v>
      </c>
    </row>
    <row r="14" spans="1:19" x14ac:dyDescent="0.3">
      <c r="B14"/>
      <c r="E14" s="12" t="s">
        <v>59</v>
      </c>
      <c r="F14" s="17" t="s">
        <v>260</v>
      </c>
      <c r="G14" s="34">
        <f>COUNTIF(Org.Table[Category.Sub],"*"&amp;Category.Governing.Table[[#This Row],[Governing]]&amp;"*")</f>
        <v>0</v>
      </c>
      <c r="M14" s="12" t="s">
        <v>124</v>
      </c>
      <c r="N14" s="17" t="s">
        <v>317</v>
      </c>
      <c r="O14" s="34">
        <f>COUNTIF(Org.Table[Category.Sub],"*"&amp;Category.Conserving.Table[[#This Row],[Conserving]]&amp;"*")</f>
        <v>0</v>
      </c>
    </row>
    <row r="15" spans="1:19" x14ac:dyDescent="0.3">
      <c r="E15" s="12" t="s">
        <v>54</v>
      </c>
      <c r="F15" s="17" t="s">
        <v>259</v>
      </c>
      <c r="G15" s="34">
        <f>COUNTIF(Org.Table[Category.Sub],"*"&amp;Category.Governing.Table[[#This Row],[Governing]]&amp;"*")-COUNTIF(Org.Table[Category.Sub],"*"&amp;"Northern Village"&amp;"*")</f>
        <v>0</v>
      </c>
      <c r="M15" t="s">
        <v>166</v>
      </c>
      <c r="N15" s="17"/>
      <c r="O15" s="34">
        <f>SUBTOTAL(109,Category.Conserving.Table[Count])</f>
        <v>0</v>
      </c>
    </row>
    <row r="16" spans="1:19" x14ac:dyDescent="0.3">
      <c r="E16" t="s">
        <v>166</v>
      </c>
      <c r="F16" s="17"/>
      <c r="G16" s="4">
        <f>SUBTOTAL(109,Category.Governing.Table[Count])</f>
        <v>0</v>
      </c>
    </row>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sheetData>
  <pageMargins left="0.7" right="0.7" top="0.75" bottom="0.75" header="0.3" footer="0.3"/>
  <pageSetup orientation="portrait" r:id="rId1"/>
  <drawing r:id="rId2"/>
  <tableParts count="5">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A3107-44F4-4842-BC24-17FFD9249424}">
  <sheetPr codeName="Sheet8"/>
  <dimension ref="A1:T55"/>
  <sheetViews>
    <sheetView zoomScale="70" zoomScaleNormal="70" workbookViewId="0">
      <selection activeCell="H27" sqref="H27"/>
    </sheetView>
  </sheetViews>
  <sheetFormatPr defaultColWidth="0" defaultRowHeight="14.4" zeroHeight="1" x14ac:dyDescent="0.3"/>
  <cols>
    <col min="1" max="3" width="20.77734375" customWidth="1"/>
    <col min="4" max="4" width="2.5546875" customWidth="1"/>
    <col min="5" max="7" width="20.77734375" customWidth="1"/>
    <col min="8" max="8" width="3.44140625" customWidth="1"/>
    <col min="9" max="10" width="20.77734375" customWidth="1"/>
    <col min="11" max="11" width="7" customWidth="1"/>
    <col min="12" max="12" width="20.77734375" customWidth="1"/>
    <col min="13" max="13" width="3.44140625" customWidth="1"/>
    <col min="14" max="16" width="20.77734375" customWidth="1"/>
    <col min="17" max="17" width="2.77734375" customWidth="1"/>
    <col min="18" max="20" width="20.77734375" customWidth="1"/>
    <col min="21" max="16384" width="8.88671875" hidden="1"/>
  </cols>
  <sheetData>
    <row r="1" spans="1:20" x14ac:dyDescent="0.3">
      <c r="A1" s="1" t="s">
        <v>29</v>
      </c>
      <c r="B1" s="1" t="s">
        <v>1</v>
      </c>
      <c r="C1" s="1" t="s">
        <v>157</v>
      </c>
      <c r="E1" s="1" t="s">
        <v>34</v>
      </c>
      <c r="F1" s="1" t="s">
        <v>1</v>
      </c>
      <c r="G1" s="1" t="s">
        <v>157</v>
      </c>
      <c r="I1" s="1" t="s">
        <v>35</v>
      </c>
      <c r="J1" s="1" t="s">
        <v>1</v>
      </c>
      <c r="K1" s="1" t="s">
        <v>190</v>
      </c>
      <c r="L1" s="1" t="s">
        <v>157</v>
      </c>
      <c r="N1" s="1" t="s">
        <v>191</v>
      </c>
      <c r="O1" s="1" t="s">
        <v>1</v>
      </c>
      <c r="P1" s="1" t="s">
        <v>157</v>
      </c>
      <c r="R1" s="1" t="s">
        <v>192</v>
      </c>
      <c r="S1" s="1" t="s">
        <v>1</v>
      </c>
      <c r="T1" s="1" t="s">
        <v>157</v>
      </c>
    </row>
    <row r="2" spans="1:20" x14ac:dyDescent="0.3">
      <c r="A2" s="5" t="s">
        <v>65</v>
      </c>
      <c r="B2" s="3" t="s">
        <v>245</v>
      </c>
      <c r="C2" s="1">
        <f>COUNTIF(Org.Table[Jurisdiction],Jurisdiction.Table[[#This Row],[Jurisdiction]])</f>
        <v>0</v>
      </c>
      <c r="E2" s="5" t="s">
        <v>238</v>
      </c>
      <c r="F2" s="3" t="s">
        <v>247</v>
      </c>
      <c r="G2" s="40">
        <f>COUNTIF(Org.Table[Tangible.Heritage],"*"&amp;Tangible.Heritage.Table[[#This Row],[Tangible.Heritage]]&amp;"*")</f>
        <v>0</v>
      </c>
      <c r="I2" s="5" t="s">
        <v>116</v>
      </c>
      <c r="J2" s="3" t="s">
        <v>218</v>
      </c>
      <c r="K2" s="1">
        <v>8</v>
      </c>
      <c r="L2" s="1">
        <f>COUNTIF(Org.Table[Cultural.Property],"*"&amp;Cultural.Property.Table[[#This Row],[Cultural.Property]]&amp;"*")</f>
        <v>0</v>
      </c>
      <c r="N2" s="5" t="s">
        <v>45</v>
      </c>
      <c r="O2" s="3" t="s">
        <v>209</v>
      </c>
      <c r="P2" s="1">
        <f>COUNTIF(Org.Table[ICH.Goals],"*"&amp;ICH.Goal.Table[[#This Row],[ICH.Goal]]&amp;"*")</f>
        <v>0</v>
      </c>
      <c r="R2" s="5" t="s">
        <v>45</v>
      </c>
      <c r="S2" s="3" t="s">
        <v>209</v>
      </c>
      <c r="T2" s="1">
        <f>COUNTIF(Org.Table[ICH.Domains],"*"&amp;ICH.Domain.Table[[#This Row],[ICH.Domain]]&amp;"*")</f>
        <v>0</v>
      </c>
    </row>
    <row r="3" spans="1:20" x14ac:dyDescent="0.3">
      <c r="A3" s="5" t="s">
        <v>64</v>
      </c>
      <c r="B3" s="3" t="s">
        <v>244</v>
      </c>
      <c r="C3" s="1">
        <f>COUNTIF(Org.Table[Jurisdiction],Jurisdiction.Table[[#This Row],[Jurisdiction]])</f>
        <v>0</v>
      </c>
      <c r="E3" s="5" t="s">
        <v>220</v>
      </c>
      <c r="F3" s="3" t="s">
        <v>221</v>
      </c>
      <c r="G3" s="1">
        <f>COUNTIF(Org.Table[Tangible.Heritage],"*"&amp;Tangible.Heritage.Table[[#This Row],[Tangible.Heritage]]&amp;"*")</f>
        <v>0</v>
      </c>
      <c r="I3" s="5" t="s">
        <v>105</v>
      </c>
      <c r="J3" s="3" t="s">
        <v>201</v>
      </c>
      <c r="K3" s="1">
        <v>3</v>
      </c>
      <c r="L3" s="1">
        <f>COUNTIF(Org.Table[Cultural.Property],"*"&amp;Cultural.Property.Table[[#This Row],[Cultural.Property]]&amp;"*")</f>
        <v>0</v>
      </c>
      <c r="N3" s="5" t="s">
        <v>94</v>
      </c>
      <c r="O3" s="3" t="s">
        <v>195</v>
      </c>
      <c r="P3" s="1">
        <f>COUNTIF(Org.Table[ICH.Goals],"*"&amp;ICH.Goal.Table[[#This Row],[ICH.Goal]]&amp;"*")</f>
        <v>0</v>
      </c>
      <c r="R3" s="5" t="s">
        <v>143</v>
      </c>
      <c r="S3" s="3" t="s">
        <v>203</v>
      </c>
      <c r="T3" s="1">
        <f>COUNTIF(Org.Table[ICH.Domains],"*"&amp;ICH.Domain.Table[[#This Row],[ICH.Domain]]&amp;"*")</f>
        <v>0</v>
      </c>
    </row>
    <row r="4" spans="1:20" x14ac:dyDescent="0.3">
      <c r="A4" s="5" t="s">
        <v>60</v>
      </c>
      <c r="B4" s="3" t="s">
        <v>197</v>
      </c>
      <c r="C4" s="1">
        <f>COUNTIF(Org.Table[Jurisdiction],Jurisdiction.Table[[#This Row],[Jurisdiction]])</f>
        <v>0</v>
      </c>
      <c r="E4" s="5" t="s">
        <v>152</v>
      </c>
      <c r="F4" s="3" t="s">
        <v>250</v>
      </c>
      <c r="G4" s="1">
        <f>COUNTIF(Org.Table[Tangible.Heritage],"*"&amp;Tangible.Heritage.Table[[#This Row],[Tangible.Heritage]]&amp;"*")</f>
        <v>0</v>
      </c>
      <c r="I4" s="5" t="s">
        <v>112</v>
      </c>
      <c r="J4" s="3" t="s">
        <v>206</v>
      </c>
      <c r="K4" s="1">
        <v>4</v>
      </c>
      <c r="L4" s="1">
        <f>COUNTIF(Org.Table[Cultural.Property],"*"&amp;Cultural.Property.Table[[#This Row],[Cultural.Property]]&amp;"*")</f>
        <v>0</v>
      </c>
      <c r="N4" s="5" t="s">
        <v>69</v>
      </c>
      <c r="O4" s="3" t="s">
        <v>199</v>
      </c>
      <c r="P4" s="1">
        <f>COUNTIF(Org.Table[ICH.Goals],"*"&amp;ICH.Goal.Table[[#This Row],[ICH.Goal]]&amp;"*")</f>
        <v>0</v>
      </c>
      <c r="R4" s="5" t="s">
        <v>50</v>
      </c>
      <c r="S4" s="3" t="s">
        <v>50</v>
      </c>
      <c r="T4" s="1">
        <f>COUNTIF(Org.Table[ICH.Domains],"*"&amp;ICH.Domain.Table[[#This Row],[ICH.Domain]]&amp;"*")</f>
        <v>0</v>
      </c>
    </row>
    <row r="5" spans="1:20" x14ac:dyDescent="0.3">
      <c r="A5" s="5" t="s">
        <v>38</v>
      </c>
      <c r="B5" s="3" t="s">
        <v>193</v>
      </c>
      <c r="C5" s="1">
        <f>COUNTIF(Org.Table[Jurisdiction],Jurisdiction.Table[[#This Row],[Jurisdiction]])</f>
        <v>0</v>
      </c>
      <c r="E5" s="5" t="s">
        <v>223</v>
      </c>
      <c r="F5" s="3" t="s">
        <v>251</v>
      </c>
      <c r="G5" s="1">
        <f>COUNTIF(Org.Table[Tangible.Heritage],"*"&amp;Tangible.Heritage.Table[[#This Row],[Tangible.Heritage]]&amp;"*")</f>
        <v>0</v>
      </c>
      <c r="I5" s="5" t="s">
        <v>87</v>
      </c>
      <c r="J5" s="3" t="s">
        <v>208</v>
      </c>
      <c r="K5" s="1">
        <v>5</v>
      </c>
      <c r="L5" s="1">
        <f>COUNTIF(Org.Table[Cultural.Property],"*"&amp;Cultural.Property.Table[[#This Row],[Cultural.Property]]&amp;"*")</f>
        <v>0</v>
      </c>
      <c r="N5" s="5" t="s">
        <v>79</v>
      </c>
      <c r="O5" s="3" t="s">
        <v>202</v>
      </c>
      <c r="P5" s="1">
        <f>COUNTIF(Org.Table[ICH.Goals],"*"&amp;ICH.Goal.Table[[#This Row],[ICH.Goal]]&amp;"*")</f>
        <v>0</v>
      </c>
      <c r="R5" s="5" t="s">
        <v>44</v>
      </c>
      <c r="S5" s="3" t="s">
        <v>196</v>
      </c>
      <c r="T5" s="1">
        <f>COUNTIF(Org.Table[ICH.Domains],"*"&amp;ICH.Domain.Table[[#This Row],[ICH.Domain]]&amp;"*")</f>
        <v>0</v>
      </c>
    </row>
    <row r="6" spans="1:20" x14ac:dyDescent="0.3">
      <c r="A6" s="5" t="s">
        <v>383</v>
      </c>
      <c r="B6" s="3"/>
      <c r="C6" s="1">
        <f>SUBTOTAL(109,Jurisdiction.Table[Count])</f>
        <v>0</v>
      </c>
      <c r="E6" s="5" t="s">
        <v>204</v>
      </c>
      <c r="F6" s="3" t="s">
        <v>205</v>
      </c>
      <c r="G6" s="1">
        <f>COUNTIF(Org.Table[Tangible.Heritage],"*"&amp;Tangible.Heritage.Table[[#This Row],[Tangible.Heritage]]&amp;"*")</f>
        <v>0</v>
      </c>
      <c r="I6" s="5" t="s">
        <v>111</v>
      </c>
      <c r="J6" s="3" t="s">
        <v>216</v>
      </c>
      <c r="K6" s="1">
        <v>7</v>
      </c>
      <c r="L6" s="1">
        <f>COUNTIF(Org.Table[Cultural.Property],"*"&amp;Cultural.Property.Table[[#This Row],[Cultural.Property]]&amp;"*")</f>
        <v>0</v>
      </c>
      <c r="N6" s="5" t="s">
        <v>102</v>
      </c>
      <c r="O6" s="3" t="s">
        <v>207</v>
      </c>
      <c r="P6" s="1">
        <f>COUNTIF(Org.Table[ICH.Goals],"*"&amp;ICH.Goal.Table[[#This Row],[ICH.Goal]]&amp;"*")</f>
        <v>0</v>
      </c>
      <c r="R6" s="5" t="s">
        <v>78</v>
      </c>
      <c r="S6" s="3" t="s">
        <v>200</v>
      </c>
      <c r="T6" s="1">
        <f>COUNTIF(Org.Table[ICH.Domains],"*"&amp;ICH.Domain.Table[[#This Row],[ICH.Domain]]&amp;"*")</f>
        <v>0</v>
      </c>
    </row>
    <row r="7" spans="1:20" x14ac:dyDescent="0.3">
      <c r="A7" s="5"/>
      <c r="B7" s="3"/>
      <c r="C7" s="1"/>
      <c r="E7" s="5" t="s">
        <v>147</v>
      </c>
      <c r="F7" s="3" t="s">
        <v>255</v>
      </c>
      <c r="G7" s="1">
        <f>COUNTIF(Org.Table[Tangible.Heritage],"*"&amp;Tangible.Heritage.Table[[#This Row],[Tangible.Heritage]]&amp;"*")</f>
        <v>0</v>
      </c>
      <c r="I7" s="5" t="s">
        <v>49</v>
      </c>
      <c r="J7" s="3" t="s">
        <v>222</v>
      </c>
      <c r="K7" s="1">
        <v>9</v>
      </c>
      <c r="L7" s="1">
        <f>COUNTIF(Org.Table[Cultural.Property],"*"&amp;Cultural.Property.Table[[#This Row],[Cultural.Property]]&amp;"*")</f>
        <v>0</v>
      </c>
      <c r="N7" s="5" t="s">
        <v>166</v>
      </c>
      <c r="O7" s="3"/>
      <c r="P7">
        <f>SUBTOTAL(109,ICH.Goal.Table[Count])</f>
        <v>0</v>
      </c>
      <c r="R7" s="5" t="s">
        <v>86</v>
      </c>
      <c r="S7" s="3" t="s">
        <v>210</v>
      </c>
      <c r="T7" s="1">
        <f>COUNTIF(Org.Table[ICH.Domains],"*"&amp;ICH.Domain.Table[[#This Row],[ICH.Domain]]&amp;"*")</f>
        <v>0</v>
      </c>
    </row>
    <row r="8" spans="1:20" x14ac:dyDescent="0.3">
      <c r="E8" s="5" t="s">
        <v>211</v>
      </c>
      <c r="F8" s="3" t="s">
        <v>212</v>
      </c>
      <c r="G8" s="1">
        <f>COUNTIF(Org.Table[Tangible.Heritage],"*"&amp;Tangible.Heritage.Table[[#This Row],[Tangible.Heritage]]&amp;"*")</f>
        <v>0</v>
      </c>
      <c r="I8" s="5" t="s">
        <v>108</v>
      </c>
      <c r="J8" s="3" t="s">
        <v>213</v>
      </c>
      <c r="K8" s="1">
        <v>6</v>
      </c>
      <c r="L8" s="1">
        <f>COUNTIF(Org.Table[Cultural.Property],"*"&amp;Cultural.Property.Table[[#This Row],[Cultural.Property]]&amp;"*")</f>
        <v>0</v>
      </c>
      <c r="R8" s="5" t="s">
        <v>166</v>
      </c>
      <c r="S8" s="3"/>
      <c r="T8">
        <f>SUBTOTAL(109,ICH.Domain.Table[Count])</f>
        <v>0</v>
      </c>
    </row>
    <row r="9" spans="1:20" x14ac:dyDescent="0.3">
      <c r="E9" s="5" t="s">
        <v>214</v>
      </c>
      <c r="F9" s="3" t="s">
        <v>215</v>
      </c>
      <c r="G9" s="1">
        <f>COUNTIF(Org.Table[Tangible.Heritage],"*"&amp;Tangible.Heritage.Table[[#This Row],[Tangible.Heritage]]&amp;"*")</f>
        <v>0</v>
      </c>
      <c r="I9" s="5" t="s">
        <v>82</v>
      </c>
      <c r="J9" s="3" t="s">
        <v>194</v>
      </c>
      <c r="K9" s="1">
        <v>1</v>
      </c>
      <c r="L9" s="1">
        <f>COUNTIF(Org.Table[Cultural.Property],"*"&amp;Cultural.Property.Table[[#This Row],[Cultural.Property]]&amp;"*")</f>
        <v>0</v>
      </c>
    </row>
    <row r="10" spans="1:20" x14ac:dyDescent="0.3">
      <c r="E10" s="5" t="s">
        <v>224</v>
      </c>
      <c r="F10" s="3" t="s">
        <v>252</v>
      </c>
      <c r="G10" s="1">
        <f>COUNTIF(Org.Table[Tangible.Heritage],"*"&amp;Tangible.Heritage.Table[[#This Row],[Tangible.Heritage]]&amp;"*")</f>
        <v>0</v>
      </c>
      <c r="I10" s="5" t="s">
        <v>110</v>
      </c>
      <c r="J10" s="3" t="s">
        <v>198</v>
      </c>
      <c r="K10" s="1">
        <v>2</v>
      </c>
      <c r="L10" s="1">
        <f>COUNTIF(Org.Table[Cultural.Property],"*"&amp;Cultural.Property.Table[[#This Row],[Cultural.Property]]&amp;"*")</f>
        <v>0</v>
      </c>
    </row>
    <row r="11" spans="1:20" x14ac:dyDescent="0.3">
      <c r="E11" s="5" t="s">
        <v>68</v>
      </c>
      <c r="F11" s="3" t="s">
        <v>217</v>
      </c>
      <c r="G11" s="1">
        <f>COUNTIF(Org.Table[Tangible.Heritage],"*"&amp;Tangible.Heritage.Table[[#This Row],[Tangible.Heritage]]&amp;"*")</f>
        <v>0</v>
      </c>
      <c r="I11" s="5" t="s">
        <v>42</v>
      </c>
      <c r="J11" s="3" t="s">
        <v>225</v>
      </c>
      <c r="K11" s="1"/>
      <c r="L11" s="1">
        <f>COUNTIF(Org.Table[Cultural.Property],"*"&amp;Cultural.Property.Table[[#This Row],[Cultural.Property]]&amp;"*")</f>
        <v>0</v>
      </c>
    </row>
    <row r="12" spans="1:20" x14ac:dyDescent="0.3">
      <c r="E12" s="5" t="s">
        <v>226</v>
      </c>
      <c r="F12" s="3" t="s">
        <v>253</v>
      </c>
      <c r="G12" s="1">
        <f>COUNTIF(Org.Table[Tangible.Heritage],"*"&amp;Tangible.Heritage.Table[[#This Row],[Tangible.Heritage]]&amp;"*")</f>
        <v>0</v>
      </c>
      <c r="I12" s="5" t="s">
        <v>43</v>
      </c>
      <c r="J12" s="3" t="s">
        <v>219</v>
      </c>
      <c r="K12" s="1"/>
      <c r="L12" s="1">
        <f>COUNTIF(Org.Table[Cultural.Property],"*"&amp;Cultural.Property.Table[[#This Row],[Cultural.Property]]&amp;"*")</f>
        <v>0</v>
      </c>
    </row>
    <row r="13" spans="1:20" x14ac:dyDescent="0.3">
      <c r="E13" s="5" t="s">
        <v>63</v>
      </c>
      <c r="F13" s="3" t="s">
        <v>256</v>
      </c>
      <c r="G13" s="1">
        <f>COUNTIF(Org.Table[Tangible.Heritage],"*"&amp;Tangible.Heritage.Table[[#This Row],[Tangible.Heritage]]&amp;"*")</f>
        <v>0</v>
      </c>
      <c r="I13" s="5" t="s">
        <v>166</v>
      </c>
      <c r="J13" s="3"/>
      <c r="K13" s="1"/>
      <c r="L13" s="1">
        <f>SUBTOTAL(109,Cultural.Property.Table[Count])</f>
        <v>0</v>
      </c>
    </row>
    <row r="14" spans="1:20" x14ac:dyDescent="0.3">
      <c r="E14" s="5" t="s">
        <v>107</v>
      </c>
      <c r="F14" s="3" t="s">
        <v>254</v>
      </c>
      <c r="G14" s="1">
        <f>COUNTIF(Org.Table[Tangible.Heritage],"*"&amp;Tangible.Heritage.Table[[#This Row],[Tangible.Heritage]]&amp;"*")</f>
        <v>0</v>
      </c>
    </row>
    <row r="15" spans="1:20" x14ac:dyDescent="0.3">
      <c r="E15" s="5" t="s">
        <v>85</v>
      </c>
      <c r="F15" s="3" t="s">
        <v>246</v>
      </c>
      <c r="G15" s="1">
        <f>COUNTIF(Org.Table[Tangible.Heritage],"*"&amp;Tangible.Heritage.Table[[#This Row],[Tangible.Heritage]]&amp;"*")</f>
        <v>0</v>
      </c>
    </row>
    <row r="16" spans="1:20" x14ac:dyDescent="0.3">
      <c r="E16" s="5" t="s">
        <v>42</v>
      </c>
      <c r="F16" s="3" t="s">
        <v>227</v>
      </c>
      <c r="G16" s="1">
        <f>COUNTIF(Org.Table[Tangible.Heritage],"*"&amp;Tangible.Heritage.Table[[#This Row],[Tangible.Heritage]]&amp;"*")</f>
        <v>0</v>
      </c>
    </row>
    <row r="17" spans="1:7" x14ac:dyDescent="0.3">
      <c r="E17" s="5" t="s">
        <v>43</v>
      </c>
      <c r="F17" s="3" t="s">
        <v>219</v>
      </c>
      <c r="G17" s="1">
        <f>COUNTIF(Org.Table[Tangible.Heritage],"*"&amp;Tangible.Heritage.Table[[#This Row],[Tangible.Heritage]]&amp;"*")</f>
        <v>0</v>
      </c>
    </row>
    <row r="18" spans="1:7" x14ac:dyDescent="0.3">
      <c r="E18" s="5" t="s">
        <v>166</v>
      </c>
      <c r="F18" s="4"/>
      <c r="G18">
        <f>SUBTOTAL(109,Tangible.Heritage.Table[Count])</f>
        <v>0</v>
      </c>
    </row>
    <row r="19" spans="1:7" x14ac:dyDescent="0.3"/>
    <row r="20" spans="1:7" x14ac:dyDescent="0.3"/>
    <row r="21" spans="1:7" x14ac:dyDescent="0.3"/>
    <row r="22" spans="1:7" x14ac:dyDescent="0.3"/>
    <row r="23" spans="1:7" x14ac:dyDescent="0.3">
      <c r="A23" s="5"/>
      <c r="B23" s="3"/>
      <c r="C23" s="1"/>
    </row>
    <row r="24" spans="1:7" x14ac:dyDescent="0.3"/>
    <row r="25" spans="1:7" x14ac:dyDescent="0.3"/>
    <row r="26" spans="1:7" x14ac:dyDescent="0.3"/>
    <row r="27" spans="1:7" x14ac:dyDescent="0.3"/>
    <row r="28" spans="1:7" x14ac:dyDescent="0.3"/>
    <row r="29" spans="1:7" x14ac:dyDescent="0.3"/>
    <row r="30" spans="1:7" x14ac:dyDescent="0.3"/>
    <row r="31" spans="1:7" x14ac:dyDescent="0.3"/>
    <row r="32" spans="1:7" x14ac:dyDescent="0.3"/>
    <row r="33" spans="1:2" x14ac:dyDescent="0.3"/>
    <row r="34" spans="1:2" x14ac:dyDescent="0.3"/>
    <row r="35" spans="1:2" ht="15" customHeight="1" x14ac:dyDescent="0.3"/>
    <row r="36" spans="1:2" ht="15" customHeight="1" x14ac:dyDescent="0.3"/>
    <row r="37" spans="1:2" ht="15" customHeight="1" x14ac:dyDescent="0.3"/>
    <row r="38" spans="1:2" ht="15" customHeight="1" x14ac:dyDescent="0.3"/>
    <row r="39" spans="1:2" x14ac:dyDescent="0.3"/>
    <row r="40" spans="1:2" x14ac:dyDescent="0.3"/>
    <row r="41" spans="1:2" x14ac:dyDescent="0.3"/>
    <row r="42" spans="1:2" x14ac:dyDescent="0.3">
      <c r="A42" s="5"/>
      <c r="B42" s="3"/>
    </row>
    <row r="43" spans="1:2" x14ac:dyDescent="0.3"/>
    <row r="54" spans="1:2" hidden="1" x14ac:dyDescent="0.3">
      <c r="A54" s="5"/>
      <c r="B54" s="3"/>
    </row>
    <row r="55" spans="1:2" hidden="1" x14ac:dyDescent="0.3">
      <c r="A55" s="5"/>
      <c r="B55" s="3"/>
    </row>
  </sheetData>
  <pageMargins left="0.7" right="0.7" top="0.75" bottom="0.75" header="0.3" footer="0.3"/>
  <drawing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F10BD-AF05-4DB3-8022-639B3376CCC4}">
  <dimension ref="A1:AC30"/>
  <sheetViews>
    <sheetView zoomScale="70" zoomScaleNormal="70" workbookViewId="0">
      <selection activeCell="Q2" sqref="Q2:R25"/>
    </sheetView>
  </sheetViews>
  <sheetFormatPr defaultColWidth="0" defaultRowHeight="14.4" zeroHeight="1" x14ac:dyDescent="0.3"/>
  <cols>
    <col min="1" max="1" width="13.33203125" customWidth="1"/>
    <col min="2" max="2" width="12.109375" customWidth="1"/>
    <col min="3" max="3" width="17.33203125" customWidth="1"/>
    <col min="4" max="4" width="14.77734375" customWidth="1"/>
    <col min="5" max="5" width="2" customWidth="1"/>
    <col min="6" max="14" width="8.88671875" customWidth="1"/>
    <col min="15" max="15" width="12.109375" customWidth="1"/>
    <col min="16" max="16" width="13.33203125" customWidth="1"/>
    <col min="17" max="17" width="8.88671875" customWidth="1"/>
    <col min="18" max="18" width="17.33203125" customWidth="1"/>
    <col min="19" max="19" width="14.77734375" customWidth="1"/>
    <col min="20" max="20" width="2" customWidth="1"/>
    <col min="21" max="29" width="8.88671875" customWidth="1"/>
    <col min="30" max="16384" width="8.88671875" hidden="1"/>
  </cols>
  <sheetData>
    <row r="1" spans="1:18" x14ac:dyDescent="0.3">
      <c r="A1" t="s">
        <v>183</v>
      </c>
      <c r="B1" t="s">
        <v>391</v>
      </c>
      <c r="C1" t="s">
        <v>390</v>
      </c>
      <c r="D1" t="s">
        <v>389</v>
      </c>
      <c r="O1" t="s">
        <v>391</v>
      </c>
      <c r="P1" t="s">
        <v>183</v>
      </c>
      <c r="Q1" t="s">
        <v>390</v>
      </c>
      <c r="R1" t="s">
        <v>389</v>
      </c>
    </row>
    <row r="2" spans="1:18" x14ac:dyDescent="0.3">
      <c r="A2" t="s">
        <v>62</v>
      </c>
      <c r="B2" t="s">
        <v>55</v>
      </c>
      <c r="O2" t="s">
        <v>51</v>
      </c>
      <c r="P2" t="s">
        <v>62</v>
      </c>
    </row>
    <row r="3" spans="1:18" x14ac:dyDescent="0.3">
      <c r="A3" t="s">
        <v>62</v>
      </c>
      <c r="B3" t="s">
        <v>397</v>
      </c>
      <c r="O3" t="s">
        <v>51</v>
      </c>
      <c r="P3" t="s">
        <v>41</v>
      </c>
    </row>
    <row r="4" spans="1:18" x14ac:dyDescent="0.3">
      <c r="A4" t="s">
        <v>62</v>
      </c>
      <c r="B4" t="s">
        <v>39</v>
      </c>
      <c r="O4" t="s">
        <v>51</v>
      </c>
      <c r="P4" t="s">
        <v>57</v>
      </c>
    </row>
    <row r="5" spans="1:18" x14ac:dyDescent="0.3">
      <c r="A5" t="s">
        <v>62</v>
      </c>
      <c r="B5" t="s">
        <v>72</v>
      </c>
      <c r="O5" t="s">
        <v>51</v>
      </c>
      <c r="P5" t="s">
        <v>52</v>
      </c>
    </row>
    <row r="6" spans="1:18" x14ac:dyDescent="0.3">
      <c r="A6" t="s">
        <v>62</v>
      </c>
      <c r="B6" t="s">
        <v>51</v>
      </c>
      <c r="O6" t="s">
        <v>72</v>
      </c>
      <c r="P6" t="s">
        <v>62</v>
      </c>
    </row>
    <row r="7" spans="1:18" x14ac:dyDescent="0.3">
      <c r="A7" t="s">
        <v>62</v>
      </c>
      <c r="B7" t="s">
        <v>91</v>
      </c>
      <c r="O7" t="s">
        <v>72</v>
      </c>
      <c r="P7" t="s">
        <v>41</v>
      </c>
    </row>
    <row r="8" spans="1:18" x14ac:dyDescent="0.3">
      <c r="A8" t="s">
        <v>41</v>
      </c>
      <c r="B8" t="s">
        <v>55</v>
      </c>
      <c r="O8" t="s">
        <v>72</v>
      </c>
      <c r="P8" t="s">
        <v>57</v>
      </c>
    </row>
    <row r="9" spans="1:18" x14ac:dyDescent="0.3">
      <c r="A9" t="s">
        <v>41</v>
      </c>
      <c r="B9" t="s">
        <v>397</v>
      </c>
      <c r="O9" t="s">
        <v>72</v>
      </c>
      <c r="P9" t="s">
        <v>52</v>
      </c>
    </row>
    <row r="10" spans="1:18" x14ac:dyDescent="0.3">
      <c r="A10" t="s">
        <v>41</v>
      </c>
      <c r="B10" t="s">
        <v>39</v>
      </c>
      <c r="O10" t="s">
        <v>397</v>
      </c>
      <c r="P10" t="s">
        <v>62</v>
      </c>
    </row>
    <row r="11" spans="1:18" x14ac:dyDescent="0.3">
      <c r="A11" t="s">
        <v>41</v>
      </c>
      <c r="B11" t="s">
        <v>72</v>
      </c>
      <c r="O11" t="s">
        <v>397</v>
      </c>
      <c r="P11" t="s">
        <v>41</v>
      </c>
    </row>
    <row r="12" spans="1:18" x14ac:dyDescent="0.3">
      <c r="A12" t="s">
        <v>41</v>
      </c>
      <c r="B12" t="s">
        <v>51</v>
      </c>
      <c r="O12" t="s">
        <v>397</v>
      </c>
      <c r="P12" t="s">
        <v>57</v>
      </c>
    </row>
    <row r="13" spans="1:18" x14ac:dyDescent="0.3">
      <c r="A13" t="s">
        <v>41</v>
      </c>
      <c r="B13" t="s">
        <v>91</v>
      </c>
      <c r="O13" t="s">
        <v>397</v>
      </c>
      <c r="P13" t="s">
        <v>52</v>
      </c>
    </row>
    <row r="14" spans="1:18" x14ac:dyDescent="0.3">
      <c r="A14" t="s">
        <v>57</v>
      </c>
      <c r="B14" t="s">
        <v>55</v>
      </c>
      <c r="O14" t="s">
        <v>91</v>
      </c>
      <c r="P14" t="s">
        <v>62</v>
      </c>
    </row>
    <row r="15" spans="1:18" x14ac:dyDescent="0.3">
      <c r="A15" t="s">
        <v>57</v>
      </c>
      <c r="B15" t="s">
        <v>397</v>
      </c>
      <c r="O15" t="s">
        <v>91</v>
      </c>
      <c r="P15" t="s">
        <v>41</v>
      </c>
    </row>
    <row r="16" spans="1:18" x14ac:dyDescent="0.3">
      <c r="A16" t="s">
        <v>57</v>
      </c>
      <c r="B16" t="s">
        <v>39</v>
      </c>
      <c r="O16" t="s">
        <v>91</v>
      </c>
      <c r="P16" t="s">
        <v>57</v>
      </c>
    </row>
    <row r="17" spans="1:18" x14ac:dyDescent="0.3">
      <c r="A17" t="s">
        <v>57</v>
      </c>
      <c r="B17" t="s">
        <v>72</v>
      </c>
      <c r="O17" t="s">
        <v>91</v>
      </c>
      <c r="P17" t="s">
        <v>52</v>
      </c>
    </row>
    <row r="18" spans="1:18" x14ac:dyDescent="0.3">
      <c r="A18" t="s">
        <v>57</v>
      </c>
      <c r="B18" t="s">
        <v>51</v>
      </c>
      <c r="O18" t="s">
        <v>39</v>
      </c>
      <c r="P18" t="s">
        <v>62</v>
      </c>
    </row>
    <row r="19" spans="1:18" x14ac:dyDescent="0.3">
      <c r="A19" t="s">
        <v>57</v>
      </c>
      <c r="B19" t="s">
        <v>91</v>
      </c>
      <c r="O19" t="s">
        <v>39</v>
      </c>
      <c r="P19" t="s">
        <v>41</v>
      </c>
    </row>
    <row r="20" spans="1:18" x14ac:dyDescent="0.3">
      <c r="A20" t="s">
        <v>52</v>
      </c>
      <c r="B20" t="s">
        <v>55</v>
      </c>
      <c r="O20" t="s">
        <v>39</v>
      </c>
      <c r="P20" t="s">
        <v>57</v>
      </c>
    </row>
    <row r="21" spans="1:18" x14ac:dyDescent="0.3">
      <c r="A21" t="s">
        <v>52</v>
      </c>
      <c r="B21" t="s">
        <v>39</v>
      </c>
      <c r="O21" t="s">
        <v>39</v>
      </c>
      <c r="P21" t="s">
        <v>52</v>
      </c>
    </row>
    <row r="22" spans="1:18" x14ac:dyDescent="0.3">
      <c r="A22" t="s">
        <v>52</v>
      </c>
      <c r="B22" t="s">
        <v>397</v>
      </c>
      <c r="O22" t="s">
        <v>55</v>
      </c>
      <c r="P22" t="s">
        <v>62</v>
      </c>
    </row>
    <row r="23" spans="1:18" x14ac:dyDescent="0.3">
      <c r="A23" t="s">
        <v>52</v>
      </c>
      <c r="B23" t="s">
        <v>72</v>
      </c>
      <c r="O23" t="s">
        <v>55</v>
      </c>
      <c r="P23" t="s">
        <v>41</v>
      </c>
    </row>
    <row r="24" spans="1:18" x14ac:dyDescent="0.3">
      <c r="A24" t="s">
        <v>52</v>
      </c>
      <c r="B24" t="s">
        <v>51</v>
      </c>
      <c r="O24" t="s">
        <v>55</v>
      </c>
      <c r="P24" t="s">
        <v>57</v>
      </c>
    </row>
    <row r="25" spans="1:18" x14ac:dyDescent="0.3">
      <c r="A25" t="s">
        <v>52</v>
      </c>
      <c r="B25" t="s">
        <v>91</v>
      </c>
      <c r="O25" t="s">
        <v>55</v>
      </c>
      <c r="P25" t="s">
        <v>52</v>
      </c>
    </row>
    <row r="26" spans="1:18" x14ac:dyDescent="0.3">
      <c r="A26" t="s">
        <v>407</v>
      </c>
      <c r="C26">
        <f>SUBTOTAL(109,Analysis.Table[Primary Orgs])</f>
        <v>0</v>
      </c>
      <c r="D26">
        <f>SUBTOTAL(109,Analysis.Table[Total Orgs])</f>
        <v>0</v>
      </c>
      <c r="O26" t="s">
        <v>407</v>
      </c>
      <c r="Q26">
        <f>SUBTOTAL(109,Analysis.Table1516[Primary Orgs])</f>
        <v>0</v>
      </c>
      <c r="R26">
        <f>SUBTOTAL(109,Analysis.Table1516[Total Orgs])</f>
        <v>0</v>
      </c>
    </row>
    <row r="27" spans="1:18" x14ac:dyDescent="0.3"/>
    <row r="28" spans="1:18" x14ac:dyDescent="0.3"/>
    <row r="29" spans="1:18" x14ac:dyDescent="0.3"/>
    <row r="30" spans="1:18" x14ac:dyDescent="0.3"/>
  </sheetData>
  <pageMargins left="0.7" right="0.7" top="0.75" bottom="0.75" header="0.3" footer="0.3"/>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F6EB9-120C-4151-AFF7-BAF47E89384B}">
  <sheetPr codeName="Sheet10"/>
  <dimension ref="A1:O38"/>
  <sheetViews>
    <sheetView zoomScale="70" zoomScaleNormal="70" workbookViewId="0">
      <selection activeCell="A2" sqref="A2"/>
    </sheetView>
  </sheetViews>
  <sheetFormatPr defaultColWidth="0" defaultRowHeight="14.4" zeroHeight="1" x14ac:dyDescent="0.3"/>
  <cols>
    <col min="1" max="1" width="24.77734375" customWidth="1"/>
    <col min="2" max="2" width="21.5546875" customWidth="1"/>
    <col min="3" max="3" width="59.6640625" customWidth="1"/>
    <col min="4" max="14" width="8.88671875" customWidth="1"/>
    <col min="15" max="15" width="0" hidden="1" customWidth="1"/>
    <col min="16" max="16384" width="8.88671875" hidden="1"/>
  </cols>
  <sheetData>
    <row r="1" spans="1:5" x14ac:dyDescent="0.3">
      <c r="A1" s="1" t="s">
        <v>28</v>
      </c>
      <c r="B1" s="1" t="s">
        <v>399</v>
      </c>
      <c r="C1" s="1" t="s">
        <v>1</v>
      </c>
      <c r="D1" s="1" t="s">
        <v>228</v>
      </c>
      <c r="E1" s="1" t="s">
        <v>157</v>
      </c>
    </row>
    <row r="2" spans="1:5" x14ac:dyDescent="0.3">
      <c r="A2" s="1"/>
      <c r="B2" s="3"/>
      <c r="C2" s="2"/>
      <c r="D2" s="15"/>
      <c r="E2" s="1"/>
    </row>
    <row r="3" spans="1:5" x14ac:dyDescent="0.3">
      <c r="A3" s="1" t="s">
        <v>166</v>
      </c>
      <c r="B3" s="1"/>
      <c r="C3" s="15"/>
      <c r="D3" s="1"/>
      <c r="E3" s="1">
        <f>SUBTOTAL(109,Data.Lists.Table[Count])</f>
        <v>0</v>
      </c>
    </row>
    <row r="4" spans="1:5" x14ac:dyDescent="0.3">
      <c r="A4" s="1"/>
      <c r="B4" s="15"/>
      <c r="C4" s="1"/>
    </row>
    <row r="5" spans="1:5" x14ac:dyDescent="0.3">
      <c r="A5" s="1" t="s">
        <v>230</v>
      </c>
      <c r="B5" s="1" t="s">
        <v>229</v>
      </c>
      <c r="C5" s="1" t="s">
        <v>1</v>
      </c>
    </row>
    <row r="6" spans="1:5" ht="57.6" x14ac:dyDescent="0.3">
      <c r="A6" s="52" t="s">
        <v>231</v>
      </c>
      <c r="B6" s="51" t="s">
        <v>386</v>
      </c>
      <c r="C6" s="16" t="s">
        <v>232</v>
      </c>
    </row>
    <row r="7" spans="1:5" ht="43.2" x14ac:dyDescent="0.3">
      <c r="A7" s="52" t="s">
        <v>234</v>
      </c>
      <c r="B7" s="43" t="s">
        <v>387</v>
      </c>
      <c r="C7" s="16" t="s">
        <v>233</v>
      </c>
    </row>
    <row r="8" spans="1:5" ht="28.8" x14ac:dyDescent="0.3">
      <c r="A8" s="52" t="s">
        <v>235</v>
      </c>
      <c r="B8" s="43" t="s">
        <v>139</v>
      </c>
      <c r="C8" s="16" t="s">
        <v>236</v>
      </c>
    </row>
    <row r="9" spans="1:5" ht="43.2" x14ac:dyDescent="0.3">
      <c r="A9" s="52" t="s">
        <v>379</v>
      </c>
      <c r="B9" s="51" t="s">
        <v>388</v>
      </c>
      <c r="C9" s="50" t="s">
        <v>237</v>
      </c>
    </row>
    <row r="10" spans="1:5" x14ac:dyDescent="0.3"/>
    <row r="11" spans="1:5" x14ac:dyDescent="0.3"/>
    <row r="12" spans="1:5" x14ac:dyDescent="0.3"/>
    <row r="13" spans="1:5" x14ac:dyDescent="0.3"/>
    <row r="14" spans="1:5" x14ac:dyDescent="0.3"/>
    <row r="15" spans="1:5" x14ac:dyDescent="0.3"/>
    <row r="16" spans="1:5"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ht="18.600000000000001" customHeight="1" x14ac:dyDescent="0.3"/>
    <row r="33" x14ac:dyDescent="0.3"/>
    <row r="34" x14ac:dyDescent="0.3"/>
    <row r="35" x14ac:dyDescent="0.3"/>
    <row r="36" x14ac:dyDescent="0.3"/>
    <row r="37" x14ac:dyDescent="0.3"/>
    <row r="38" x14ac:dyDescent="0.3"/>
  </sheetData>
  <dataValidations count="3">
    <dataValidation allowBlank="1" showInputMessage="1" showErrorMessage="1" promptTitle="Data.Lists.Table" prompt="Details all data bases conglomerated into this database with notes" sqref="A1:B1" xr:uid="{4E88E39A-571F-41F7-BE74-4335381D1E7F}"/>
    <dataValidation allowBlank="1" showInputMessage="1" showErrorMessage="1" promptTitle="Source.Table" prompt="Details where tagging and other lists are taken from with links to sources" sqref="A5:B5" xr:uid="{20599346-EC64-405E-A76D-F53F988470F8}"/>
    <dataValidation allowBlank="1" showInputMessage="1" showErrorMessage="1" prompt="Name of range here source is used for." sqref="A5" xr:uid="{5544E10C-3A9A-4A45-B65A-C96ED66560D6}"/>
  </dataValidations>
  <hyperlinks>
    <hyperlink ref="C9" r:id="rId1" location=":~:text=Canada%E2%80%99s%20built%20heritage%20includes:%20%E2%80%A2%20the%20pool%20of,years%20prior%20which%20have%20architectural%20or%20historical%20significance," display="https://www.historicplaces.ca/media/5689/built_heritage_en.pdf - :~:text=Canada%E2%80%99s%20built%20heritage%20includes:%20%E2%80%A2%20the%20pool%20of,years%20prior%20which%20have%20architectural%20or%20historical%20significance," xr:uid="{5EEB68F7-4282-48E9-B9EA-AB6088881601}"/>
  </hyperlinks>
  <pageMargins left="0.7" right="0.7" top="0.75" bottom="0.75" header="0.3" footer="0.3"/>
  <pageSetup orientation="portrait" r:id="rId2"/>
  <drawing r:id="rId3"/>
  <tableParts count="2">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3422EEA8A5FED42BBDB78E6C74AD41D" ma:contentTypeVersion="11" ma:contentTypeDescription="Create a new document." ma:contentTypeScope="" ma:versionID="2ab0134a1c30639ac9ed0a666b458e79">
  <xsd:schema xmlns:xsd="http://www.w3.org/2001/XMLSchema" xmlns:xs="http://www.w3.org/2001/XMLSchema" xmlns:p="http://schemas.microsoft.com/office/2006/metadata/properties" xmlns:ns3="091283ed-e152-41d3-b552-28f07e0bd632" xmlns:ns4="41aca9ef-7182-49ef-b8fe-fcbe756e89fa" targetNamespace="http://schemas.microsoft.com/office/2006/metadata/properties" ma:root="true" ma:fieldsID="68bdfc77d44cf9522978eff22710c589" ns3:_="" ns4:_="">
    <xsd:import namespace="091283ed-e152-41d3-b552-28f07e0bd632"/>
    <xsd:import namespace="41aca9ef-7182-49ef-b8fe-fcbe756e89f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91283ed-e152-41d3-b552-28f07e0bd6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1aca9ef-7182-49ef-b8fe-fcbe756e89f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71198B8-25CD-4514-A798-7304CCA437C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3E7C11B-2F45-4C31-AF24-4AC5AD3C16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91283ed-e152-41d3-b552-28f07e0bd632"/>
    <ds:schemaRef ds:uri="41aca9ef-7182-49ef-b8fe-fcbe756e89f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19FFEE3-B04D-4519-BAC1-2B1DDB75C6A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META</vt:lpstr>
      <vt:lpstr>ORGS</vt:lpstr>
      <vt:lpstr>TYPES</vt:lpstr>
      <vt:lpstr>CAT</vt:lpstr>
      <vt:lpstr>TAGS</vt:lpstr>
      <vt:lpstr>Analysis</vt:lpstr>
      <vt:lpstr>REFS</vt:lpstr>
      <vt:lpstr>Category.Conserving</vt:lpstr>
      <vt:lpstr>Category.Facilitating</vt:lpstr>
      <vt:lpstr>Category.Governing</vt:lpstr>
      <vt:lpstr>Category.Main</vt:lpstr>
      <vt:lpstr>Category.Supporting</vt:lpstr>
      <vt:lpstr>Cultural.Property</vt:lpstr>
      <vt:lpstr>Data.Lists</vt:lpstr>
      <vt:lpstr>ICH.Domain</vt:lpstr>
      <vt:lpstr>ICH.Goal</vt:lpstr>
      <vt:lpstr>Jurisdiction</vt:lpstr>
      <vt:lpstr>MultiDropDowns</vt:lpstr>
      <vt:lpstr>Tangible.Heritage</vt:lpstr>
      <vt:lpstr>Type.Academic</vt:lpstr>
      <vt:lpstr>Type.Indigenous</vt:lpstr>
      <vt:lpstr>Type.Main</vt:lpstr>
      <vt:lpstr>Type.NP</vt:lpstr>
      <vt:lpstr>Type.Other</vt:lpstr>
      <vt:lpstr>Type.Private</vt:lpstr>
      <vt:lpstr>Type.Public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zack moore</dc:creator>
  <cp:keywords/>
  <dc:description/>
  <cp:lastModifiedBy>Zachary Moore</cp:lastModifiedBy>
  <cp:revision/>
  <dcterms:created xsi:type="dcterms:W3CDTF">2019-08-08T21:25:30Z</dcterms:created>
  <dcterms:modified xsi:type="dcterms:W3CDTF">2021-09-14T17:50:44Z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0x01010023422EEA8A5FED42BBDB78E6C74AD41D</vt:lpwstr>
  </property>
</Properties>
</file>